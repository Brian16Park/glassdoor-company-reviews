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daniel/Documents/GitHub/glassdoor-company-reviews/data/processed/"/>
    </mc:Choice>
  </mc:AlternateContent>
  <xr:revisionPtr revIDLastSave="0" documentId="13_ncr:1_{DFE803E7-9003-7C48-9929-72D4FFF64934}" xr6:coauthVersionLast="47" xr6:coauthVersionMax="47" xr10:uidLastSave="{00000000-0000-0000-0000-000000000000}"/>
  <bookViews>
    <workbookView xWindow="0" yWindow="760" windowWidth="29400" windowHeight="17200" xr2:uid="{88C170FA-BAA9-EA4A-979A-FF01B0EA21CB}"/>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53" i="1" l="1"/>
  <c r="G924" i="1"/>
  <c r="G845" i="1"/>
  <c r="G742" i="1"/>
  <c r="G734" i="1"/>
  <c r="G703" i="1"/>
  <c r="G646" i="1"/>
  <c r="G640" i="1"/>
  <c r="G637" i="1"/>
  <c r="G602" i="1"/>
  <c r="G593" i="1"/>
  <c r="G575" i="1"/>
  <c r="G566" i="1"/>
  <c r="G526" i="1"/>
  <c r="G509" i="1"/>
  <c r="G483" i="1"/>
  <c r="G435" i="1"/>
  <c r="G385" i="1"/>
  <c r="G318" i="1"/>
  <c r="G288" i="1"/>
  <c r="G238" i="1"/>
  <c r="G193" i="1"/>
  <c r="G186" i="1"/>
  <c r="G134" i="1"/>
  <c r="G23" i="1"/>
  <c r="C842" i="1"/>
  <c r="C745" i="1"/>
  <c r="C734" i="1"/>
  <c r="C679" i="1"/>
  <c r="C575" i="1"/>
  <c r="C372" i="1"/>
  <c r="E974" i="1"/>
  <c r="E970" i="1"/>
  <c r="E893" i="1"/>
  <c r="E879" i="1"/>
  <c r="E874" i="1"/>
  <c r="E859" i="1"/>
  <c r="E845" i="1"/>
  <c r="E766" i="1"/>
  <c r="E763" i="1"/>
  <c r="E742" i="1"/>
  <c r="E734" i="1"/>
  <c r="E730" i="1"/>
  <c r="E690" i="1"/>
  <c r="E686" i="1"/>
  <c r="E684" i="1"/>
  <c r="E640" i="1"/>
  <c r="E637" i="1"/>
  <c r="E636" i="1"/>
  <c r="E602" i="1"/>
  <c r="E593" i="1"/>
  <c r="E566" i="1"/>
  <c r="E532" i="1"/>
  <c r="E526" i="1"/>
  <c r="E487" i="1"/>
  <c r="E483" i="1"/>
  <c r="E435" i="1"/>
  <c r="E395" i="1"/>
  <c r="E385" i="1"/>
  <c r="E377" i="1"/>
  <c r="E372" i="1"/>
  <c r="E370" i="1"/>
  <c r="E318" i="1"/>
  <c r="E288" i="1"/>
  <c r="E238" i="1"/>
  <c r="E193" i="1"/>
  <c r="E186" i="1"/>
  <c r="E162" i="1"/>
  <c r="E134" i="1"/>
  <c r="E127" i="1"/>
  <c r="E20" i="1"/>
  <c r="E9" i="1"/>
</calcChain>
</file>

<file path=xl/sharedStrings.xml><?xml version="1.0" encoding="utf-8"?>
<sst xmlns="http://schemas.openxmlformats.org/spreadsheetml/2006/main" count="6500" uniqueCount="6000">
  <si>
    <t>Salary was good for the position, but only because they never promoted anyone.</t>
  </si>
  <si>
    <t>Relentless pressure from the top.  Constantly changing direction.  Senior management is easily sold on every shiny new toy, rather than strengthening existing infrastructure.</t>
  </si>
  <si>
    <t>1. Great brand name
2. Top Management are consistent on bank's goals and strategies
3. Constantly growing company</t>
  </si>
  <si>
    <t>1. Work hours do not adhere to internationally accepted standards
2. Supervisory culture still embedded in 20th century, with juniors addressing Supervisors as 'Sir', and Supervisor wielding his authority with abandon.</t>
  </si>
  <si>
    <t>Good and best and bestest best</t>
  </si>
  <si>
    <t>Not bad and not bad and not bad</t>
  </si>
  <si>
    <t>Unfortunately there were no pros during my time working for this company.</t>
  </si>
  <si>
    <t>Retail Stores are severely understaffed.
New system called seibel-none of the staff know how to use properly.
Bonus is all based on Net Promoter Score. Their are three questions asked, however Vodafone only care about the first one- would you recommend Vodafone to a friend or family unless customer gives 9/10 staff members are penalised. Staff can potentially loose their job based on this system. Unfortunately what Vodafone do not realise is that people will rank Vodafone based on their whole experience not the last one.
The majority of departments that can actually resolve a customer issue are only available to be contacted via an email.</t>
  </si>
  <si>
    <t>Working with business owners or employees to solve telecommunication and technology. Great salary, if you can make your sales goals.</t>
  </si>
  <si>
    <t>Amount of sales and expectations are unrealistic. Due to Covid, the job turned from outside sales to inside sales. Basically glorified telemarketer. Leadership micromanages, but changes the directives constantly. No ability to consistently perform without feeling overwhelmed and stressed and working 50-60 hours per week.
Operations team and customer service team are not helpful and their processes are broken and inconsistent. Causes more problems for customers that the Business Account Managers are expected to fix and follow through on resolution on, even though they weren't the one who created the issue.</t>
  </si>
  <si>
    <t>Very inclusive and helpful environment which made succeeding in the role very achievable.</t>
  </si>
  <si>
    <t>Nothing sticks out to me that I would change.</t>
  </si>
  <si>
    <t>Decent work life balance
Opportunity for learning</t>
  </si>
  <si>
    <t>Growth within company always based on favouritism and whoever is closest to the boss
No 13th month, no performance bonus, no employee stock options
CEO made a touching speech with tears that everyone will retain their jobs in 2020, but quietly staff were being let go and those who stayed on were disappointed with her lies and also chose to resign</t>
  </si>
  <si>
    <t>- Communication breakdown: There is an endemic lack of communication that exacerbates every problem within the company. - Soul-crushing work-life balance: Expectation to dedicate your life to the job. Personal time and commitments are disregarded. - Dead-end job: Promises of advancement are smoke and mirrors. Don't expect growth or meaningful recognition. - Toxic culture: Cut-throat environment that fosters hostility and stress. Cooperation and collegiality are non-existent.</t>
  </si>
  <si>
    <t>Most employees are great, Management on the other hand will ask you to do things that are against policy. (Thinking its going to be another Wells Fargo law suit soon)</t>
  </si>
  <si>
    <t>HR and upper management does not have your back when it comes to informing them of ethics not being followed. When you hit 200% of your goal they email store manager to find out why you are above goal and why was that goal assigned, instead of recognizing excellent sales ability. Payouts are the lowest I've ever seen at a financial institution. They have clawbacks when customers close/chargeoff accounts within 90 days which means they take away all your work (sales) for those accounts and make you double the work to catch back up. They don't run Chex Systems so that happens ALOT. Their technology lets just say is something to laugh about.  Oh can't forget about their hold time for Bank Support, Fraud Management, or Collection Dept is on average an hour so you are literally helping 5 customers a day for service instead of actually making sales. Don't forget that most branches are open 7 days a week and late hours but not all departments are that you need to help with some of the customers needs.</t>
  </si>
  <si>
    <t>Nothing good about this company.Although they are sweet initially at the time of interview that everyone feel that it is a great place to work.Only salary package is Okk over here.</t>
  </si>
  <si>
    <t>1.No job security
2.Management will only shout at you &amp;amp; make you feel ashamed &amp;amp;embarassing even for small mistakes. 
3. No good work culture. 
4. Lot of politics. Especially senior people, they put a blame on you for every mistake. 
5. Hiring process too slow . All senior HR's are so irresponsible that it's difficult to work as a team with them becoz they will try to dominate &amp;amp;put a blame of theirs on others.</t>
  </si>
  <si>
    <t>They are okay to work for.</t>
  </si>
  <si>
    <t>Don't expect to be treated fairly from District and General Managers</t>
  </si>
  <si>
    <t>provides good salary package on time</t>
  </si>
  <si>
    <t>too costlier products
bad and each 6 months changing staff
worse team management
too much pressure by senior team
no cooperation by admins
all time thread of losing job
too much work load 
heavy targets but worse products
delivers too late and damage products
credit facility is a way of loot where employee hangs between dealer and company.
if any thing is good then ZSM takes credit
and any one do 1 single mistake then ZSM puts all mistakes on him.</t>
  </si>
  <si>
    <t>Microsoft really does have Cadillac benefits - generous 401k matching, best dental insurance I‚Äôve ever had, personal wellness, ESPP etc. Due to the name recognition and company footprint, it‚Äôs generally easy to get appointments with your customers, as they are heavily invested in Microsoft technology. Microsoft seems to be continuously innovating their tech as of late, which is helpful to sellers.</t>
  </si>
  <si>
    <t>Microsoft‚Äôs inside sales org in Irving, TX is called Digital Sales within Microsoft‚Äôs Small, Medium &amp;amp; Corporate business segment. 
When I joined Microsoft, I expected a world class and extremely formalized training program since the company was so large and talks about digital transformation with their customers. Microsoft was the worst and most impersonal onboarding I‚Äôve ever had. They had you do a quick 2 hour meeting with an HR rep, and from there, you‚Äôre released to your manager. On day 1, I had boxes of equipment at my desk and was left to unpack and set up all my equipment myself. No one helped me get up and running to ensure I had a successful first day in role. 
Outside of the standard education videos, which are all more Microsoft and product focused, there was no formalized training to set external hires up for success within Microsoft digital sales. 
It surprised me that for a tech company, the sales tools available are very archaic and systems do not talk to one another. For example, I spent the first 2-3 weeks of my job entering Help Desk tickets with India just to wait on various system access and tools needed to perform my job. This added to what‚Äôs already a stressful time starting a new job. Dynamics is a very antiquated CRM tool (basically an electronic filing cabinet) &amp;amp; was cumbersome to maintain accurate sales records in the tool. 
Management within the org was highly political and would impose constantly shifting priorities that worked well for those in leadership to meet their scorecard metrics by creating business rules that forced reps to sell certain products for a management scorecard and jump through countless internal approval hoops if the product was not included in a deal. This led to many reps selling through discounting versus solution selling - setting a bad precedent for future deals. 
There was also a shift in how the specialists teams interact with the digital Account Executives. Some of the specialists used to be AEs and work as field-based resources, while other AEs have 100% inside-based specialists supporting their accounts. Seems like eventually Microsoft will pivot to eliminating either one group of resources or the other in the future. As a result, mandates come down for the AEs to upskill by taking various certification exams to achieve deeper proficiency in the workloads. This is fine, but it makes you wonder if the goal is eventually to try and eliminate some of the specialists. Often, it felt like they were trying to pile as much on the AE as possible when the AE role was explained to me as a generalist sales role. 
Many of the managers within digital sales are extremely duplicitous and political, which created a hostile work environment. Policies would be implemented very haphazardly without the proper training and context for the AE community to fully understand the new policies and adhere to them. 
Since it‚Äôs Microsoft, there are also a TON of resources (usually contractors) reaching out internally asking you to intro them to your customers or bothering you constantly to let them engage in your accounts. The issue is many of these resources are also inconsistent and not showing value, so you are having to filter through a ton of internal noise and requests for introductions on top of your daily work. 
The majority of the folks there seemed to be hanging on from when Microsoft first opened this sales org due to the relatively high pay for inside sales; however, many of these employees lack the basic skills and Microsoft knowledge to effectively do their job and take care of their customers - they are just there riding the wave. 
I‚Äôd advise against the Digital Sales AE role and Specialist roles in Las Colinas unless you‚Äôre have worked heavily in the Microsoft ecosystem and come to the role with that background and knowledge of what you are getting into. If you come from another software company, you will likely not get the enablement your need to effectively navigate the complexities of Microsoft and management‚Äôs constantly shifting priorities.</t>
  </si>
  <si>
    <t>The front desk receptionist there is extremely helpful and the company is located across the street from a Taco Bell and KFC which makes meal breaks more convenient.</t>
  </si>
  <si>
    <t>The downside about working at AMP is their horrible upper management and the toxic outdated work culture that they implement within the company. That being said, the CEO‚Äôs response during the pandemic was, ‚ÄúWorking from home is an earned privilege‚Äù while many accounting firms has taken the initiation to work from home until November 2021.
The technology and IT infrastructure there is obsolete and outdated with software that crashes quite frequently. 
As a client service accounting company, we understand that demanding hours are expected from January through April. 
However, working 50-55 hours is expected year-round which makes a work-life balance non-existent.</t>
  </si>
  <si>
    <t>Azure and Office 365 - cool tech with a growing customer base.</t>
  </si>
  <si>
    <t>Sorry Microsoft - but nothing has changed since I Ieft. In fact, given the horror stories I hear when I meet with colleagues still working there - the forced ranking is still there: zero bonuses even when goals are exceeded. No tolerance for employees that want to take career risks and try new areas for growth: if the fit turns out to be a poor fit - you are labeled "no internal moves" and you time at MS is over. Last, there is a strong tendency for Indians to hire Indians - look at some of the teams - is there really such a sad lack of diverse folk that could be hired into each team?</t>
  </si>
  <si>
    <t>You get to work in the heart of the beast, a washington legend, with a decent salary.</t>
  </si>
  <si>
    <t>You are disposable and will be treated as such.  Even though I was the person with the most experience in the technology we were using my ideas were overshadowed, and larger projects had to be pushed off for deadlines.  The turnover was also high, even within my team.  We had people rotating in and out, lots of input for a lot of different sources on progress/expectations, and it led to something of a jumbled mess when it came to development.</t>
  </si>
  <si>
    <t>colleagues is helpful and nice</t>
  </si>
  <si>
    <t>too much admin and paper work</t>
  </si>
  <si>
    <t>You get paid. Not a lot, but you get paid.</t>
  </si>
  <si>
    <t>As an employee expect to be mentally abused. The owners of this company will cuss you out, constantly threaten you with dismissal, and overload you with objectives that serve no real purpose. No sick days, no maternity leave, no 401k. Relationships with other employees are greatly frowned upon. So no after work drinks with the co-workers. They'll be some long nights and ruff days. You will be expected to over deliver, all the time, with little to no reward.
If you're considering working here, be ready to see management have mental break downs, marital disputes, and a colleague or two crying their eyes out after a department meeting. You will also notice that as quickly as a person is hired there will be one or two people quitting or fired just as fast. No one and I do mean no one gets a good reference from this place. Moving on to another position is viewed as betrayal. Overall, employment here is no where near worth the stress, effort, and pay offered. Don't believe me read other posts from past employees. Anyone saying different is most likely the owners them selves.  I have no animosity towards management as I no longer work there, I however cannot in good conscience recommend this place
to any one.</t>
  </si>
  <si>
    <t>-Income isn‚Äôt worth the issues to have to deal with. 
-CEO is a clueless puppet, who has already bankrupted 2 companies before moving to Champion
-Customer service takes a back back seat to profit
-Quality of craftsmanship is low</t>
  </si>
  <si>
    <t>I guess a pro is the job is fully remote</t>
  </si>
  <si>
    <t>There is no training period here. You do "tasks" for other consultants as your training basically. This will typically last less than 2 weeks before you start getting clients. Once you start getting clients, you are on your own. If you have a question about any task at that point, they will refer you to some training manual. You also will be given some extremely difficult clients with unrealistic expectations. If those unrealistic expectations aren't met, they will fire you with no warning. Get ready to work insane hours just to be caught up with overdue. Be prepared to get yelled at when you don't finish work on time. For context, you may get assigned a client that requires 80 hours of work A WEEK, and they will expect those 80 hours to be done end of the week, even if you have to work all night they don't care. Don't waste your time working here there are many other SEO jobs out there that have a better culture, support, and benefits.</t>
  </si>
  <si>
    <t>People (teammates) Growth Potential Tech</t>
  </si>
  <si>
    <t>1. Senior Leadership Vision vs Reality is off 2. Technical Leadership has too much control when trying to monetize the software 3. Mid-Level and frontline management have no ideas so they just bark the usual at reps in hopes that will fix issues. 4. Too many tools to manage 5. Sales cycles are very long so don't expect any decent commission checks for at least 12 months 6. Very large amount of equity given which seems good but not when the stock has only gone down since going public.</t>
  </si>
  <si>
    <t>- The People. You get to work with and learn from the best in the industry. CBI employees take pride in what they do, and being successful as a team. 
- Professional Development. I was pushed (sometimes we all need a push) and encouraged to grow and develop, and it made me more successful in my career. There is a competitive culture within CBI, so if you are interested in just meeting the bare minimum and not sharpening your skills, you will not thrive. 
- Your Voice is Heard. CBI embraces the Lencioni Pyramid. Conflict is ok (and honestly is necessary!) as long as it's handled appropriately. I always felt that I could voice my opinions and recommendations to management and that it was received well. Note here, there is a difference between just complaining to upper management, and bringing forward a problem with a proposed solution. If you just want to complain about problems, you won't be successful. 
- Opportunities to Shine. CBI is a small company and as such, there are plenty of opportunities for driven, smart individuals to make big accomplishments and truly set themselves apart. I feel that CBI provided ample opportunities for me to be recognized for the work I was doing and overall was great at acknowledging when employees were making an impact.</t>
  </si>
  <si>
    <t>There was a lot to learn when I first joined Getir, my teammates (and my boss) were amazing people and I quickly developed a business acumen that I have yet to lose after a year and a half of being on the more technical side of things. I was able to establish deep and meaningful relationships with my teammates and working was enjoyable.</t>
  </si>
  <si>
    <t>Once they started bringing in former consultants into C-level positions, things started going downhill. I get that both the founders and these people are really smart and talented, but you need to have a certain degree of professionalism (as in, not putting your sons in positions that they are vastly underqualified for) and a certain history in the company in order to not mess things up. Granted, the boost from the pandemic helped things a lot but the company also started swelling up with underqualified people in redundant positions, which caused the few people who were doing actual work to become overburdened really quickly. And management was nowhere to be seen.</t>
  </si>
  <si>
    <t>Huge brand name.
Great learning experience.
Good canteen facility.</t>
  </si>
  <si>
    <t>Very low salary compared to market.
No growth opportunities.
Politics, favouritism, bad working environment.</t>
  </si>
  <si>
    <t>Great pay, pretty much it</t>
  </si>
  <si>
    <t>As many others have said the company culture is very toxic and I would never consider returning to this company nor recommend to anyone else. 
Senior leaders spend alot of time gossiping and creating cliques, they are openly talking about staff and other leaders. There are leaders who use their role to bully and intimidate which is well known as complaints are made but nothing will be done about it - there is no safeguarding for non-management staff and relation happens. Alot of things in a short time: staff made to cry on calls, staff working while sick, requests not to take holiday, delivery metric manipulation to punish teammembers, requests for camera turn on despite valid reasons, burnout of teammembers...
Most people are working evenings and weekends and, still, on multiple occasions I have seen people being fired before the replacement is onboarded (= 0 handover) and more stress for teams. 
It is a generally unhappy place to work outside of the relationships with your colleagues, the workload is unrealistic and stressful. Couldn't pay me enough to stay at a company like this, there are many other well paying roles where the workload is realistic, your manager can actually manage and you aren't playing office politics 24/7.</t>
  </si>
  <si>
    <t>Good cab facility, good food, excellent work environment.</t>
  </si>
  <si>
    <t>Mental pressure, work partiality, stress</t>
  </si>
  <si>
    <t>Paid on time. Supply plenty of passengers. You are fairly anonymous, so unlikely to be victimized by cab drivers who hate you. Trips to the airport are generally without incident and pay the most.. I did have one nice rider who bought me dinner.</t>
  </si>
  <si>
    <t>The driver rating system is fatally flawed. If you don't maintain a 4.7 rating(or 94%)your out. Never mind that you are being rated by passengers who are either drunk, loaded, or angry that they didn't hook-up that night. Their training video is total BS "Hold the door for passengers, offer them water, and you'll get 5-star ratings every time". Management does NOTHING to address problems drivers may have. Their solution - "Drive more hours". The app only shows you the correct address about half the time. I had passengers throw up in the back seat, and get into fist fights.</t>
  </si>
  <si>
    <t>Learned underwriting skills, that‚Äôs all!</t>
  </si>
  <si>
    <t>Terrible management, terrible benefits, no incentive plan, no updated policies, favoritism</t>
  </si>
  <si>
    <t>Nice office... modern building... free coffee</t>
  </si>
  <si>
    <t>Be prepared to not sleep or eat ... because all that matters is work.... forget a lunch break? Never heard of one 
Systems are so outdated ... Makes no sense... waste of time could be done so much more efficiently and effectively if the systems were modern... who even uses Excel nowadays???!!</t>
  </si>
  <si>
    <t>Very welcoming bunch.
They understand that you are a human being and treat you as such.</t>
  </si>
  <si>
    <t>The phones are very busy. VERY BUSY.</t>
  </si>
  <si>
    <t>Health Plan, benefits, Office, Snacks</t>
  </si>
  <si>
    <t>Micro Management
Low Salary
Constant Performance Reviews</t>
  </si>
  <si>
    <t>They begin paying at $15 an hour for most people.</t>
  </si>
  <si>
    <t>At their highest levels, they are unprofessional, egotistical and shallow. The medical benefits don't kick in until you're in thousands in debt and management is incompetent.</t>
  </si>
  <si>
    <t>Frontline employees are dedicated, loyal, and incredibly hard working. They have endured ridiculous deadlines and incredibly poor planning and still achieved miracles with minimal complaints. If you're a recruiter looking for excellent candidates for individual contributor roles look no further than current and former StackPath employees.</t>
  </si>
  <si>
    <t>The leadership of this company consists of a group of finance bros and the illiterate parasites who have successfully managed up to them. None of them have any real experience in managing a technology firm, and they spend the vast majority of their time trying to cover this fact up instead of listening to people who do have experience and domain knowledge. Anyone who doesn't manage up to them is managed out, but of course the resulting mass exodus of talent is blamed on people who haven't worked there in almost two years. Simply put there are way too many fragile egos and insecurities in play at the management and executive level to ever allow the folks on the ground to actually get anything done. The net result is plain for anyone to see. The company has been in a rut for two years while the competition has posted record profits.</t>
  </si>
  <si>
    <t>If you work hard and have ambition, you will be very successful and make a great deal of commission!  You decide how successful you are; Verizon will not hinder you.</t>
  </si>
  <si>
    <t>There are A LOT of politics.  I had a manager that was a horrific bully.  She continually got away with picking on people.  She would form clicks with some and destroy the others.</t>
  </si>
  <si>
    <t>Well looked after 
Good working environment 
Sick scheme
Top pension 
Approachable employer 
Holiday bonus 
Attendance bonus 
Progression 
Car scheme purchase 
Ambassador programme
Full canteen 
Gym
Shower rooms 
Edap training funding 
Weekly pay 
Steady pay rises 
Union on site 
Cash machine 
Regular breaks 
Good shift pattern 
Hourly pay rate best around 
Generous shift allowance 
Cycle to work scheme 
8hr shifts 
Tuck shop (newspapers)</t>
  </si>
  <si>
    <t>None really 
Can‚Äôt think of any 
Everything was more than generous 
Perhaps some employees took it for granted</t>
  </si>
  <si>
    <t>McDonald's has a really Good environment</t>
  </si>
  <si>
    <t>The location of the store was bad</t>
  </si>
  <si>
    <t>Great culture, remote team although most are in Colorado. Brings everybody together 2X a year in Denver. Real respect for work-life balance, unlimited PTO, can work from anywhere. Dev and PM teams are competent and efficient. Management truly cares about the team as people, not just as resources needed to meet financial goals.</t>
  </si>
  <si>
    <t>Nothing really major. The benefits are expensive, but that is true at just about all smaller companies, so not really a con of Fruition, just reality of working for a &amp;lt;50 person organization.</t>
  </si>
  <si>
    <t>The flexibility and the culture made tax prep season managable</t>
  </si>
  <si>
    <t>The hours associated with tax prep season were of the industrial norm: a lot</t>
  </si>
  <si>
    <t>supportive enviroment and a very growth focus environment</t>
  </si>
  <si>
    <t>not very well paid job for freashers</t>
  </si>
  <si>
    <t>Free ‚Äúcredit repair‚Äù for you and a plus one. Good salary. (At least when I worked there) yearly employee appreciation activities like a paid movie day.</t>
  </si>
  <si>
    <t>Extreme micromanagement, unachievable metrics that climb higher and higher, we were forced have to mislead the ‚Äúclients‚Äù and manipulate them into staying and pay monthly fees to have their credit worked on by a remote team which is just a fill in the blank form where they insert the necessary information and send it to the creditors and bureaus. And heaven you get the clients that want to cancel and get clients that can‚Äôt pay due to financial issues like job loss or even homelessness. Management would just say ‚ÄúJust put them on x service level and don‚Äôt let them cancel.‚Äù Only reason it‚Äôs not a full-fledged scam: some people see great results and they really do see a great improvement to their credit scores.</t>
  </si>
  <si>
    <t>Flexible and really fun job with great coworkers</t>
  </si>
  <si>
    <t>They don't take sexual harassment seriously.</t>
  </si>
  <si>
    <t>Very few with the cost optimisation activities continually sapping employees morale 
New CEO man for the job wish him luck</t>
  </si>
  <si>
    <t>Reward significantly behind that of the market 
Management slow to react to market changes
Overly bureaucratic cuts not made at the centre always on sales service or network 
Tools not fit for purpose.
Needs better focus on turnaround programmes to internally focussed remember customer value</t>
  </si>
  <si>
    <t>Good team members, great team work and knowledge sharing</t>
  </si>
  <si>
    <t>Non stop harassment by the Manager, trash talking, humiliating and nagging</t>
  </si>
  <si>
    <t>I loved the people I got to work with. Great benefits package!</t>
  </si>
  <si>
    <t>Both good and bad- very strong corporate culture. Sometimes decisions coming out of New York didn't make sense for our market but we had to implement them anyway. Office Politics rampant. Giant corporation, can be hard to feel seen- though my sector did a good job of trying to mitigate that.</t>
  </si>
  <si>
    <t>NONE this company lies about everything</t>
  </si>
  <si>
    <t>Company leadership lies and misleads you.
Account Managers are arrogant for no reason. Company doesn't aim to have a positive work environment, their goal is to stress you out as much as possible. ANOTHER LIE BELOW DAVE IS NOT THE CEO. The real CEO thinks he's above everyone and rarely shows his face.</t>
  </si>
  <si>
    <t>You have a job that you go to every day.</t>
  </si>
  <si>
    <t>They won't reward you for your hard work and it just keeps coming. Also, forget about transitioning to a better role.</t>
  </si>
  <si>
    <t>Exp√©rience salaire bonne gestion assiduit√©</t>
  </si>
  <si>
    <t>Juste anglais si on parle fran√ßais on boss ps</t>
  </si>
  <si>
    <t>The vast majority of junior people seem okay. Senior management is another story, however. The salary is higher than the industry average even for entry-level jobs.</t>
  </si>
  <si>
    <t>- Insane hours 
- Back to back meetings during the day and having to do the ACTUAL work that I'm supposed to do during my evenings, weekends and non-existent spare time. No work-life balance.
- The vaping division announced a 52% rise in profits and then not even a week later the company announced the biggest wave of cuts the company has seen in years. Really tells you something about how much the company values its staff. The senior management is determined to keep showing an increase in profits at the expense of laying off people and cutting resources. In other words, they are in lights switching off mode it seems.
- Extremely disorganised processes. Nobody on the team actually understands the fundamental step by step processes needed to execute a project. It's frankly alarming. There is really no proper structure anywhere (at least in the vaping division)
- POINTLESS Bureaucracy. Why do we need all these stupid meaningless forms that need to be filled out every step of the project? Why do we need to have so many alignment and pre-alignment meetings? WHY?!
- The guys at the top are very clearly an old boy's club.
-Lots of sucking up in meetings to senior management. Gross to watch. 
-Proper good old fashioned corporate machine.</t>
  </si>
  <si>
    <t>Safe, good working hours, nice internal staff (except good old sales!)</t>
  </si>
  <si>
    <t>Boring, lack of progression, self service hell, extremely heavily bureaucratic, non competitive products, bad customer service. Impossible to get pay rises.</t>
  </si>
  <si>
    <t>Size and reach give great scope</t>
  </si>
  <si>
    <t>Size and spreqad of function limit innovation</t>
  </si>
  <si>
    <t>Holidays off and personal time.</t>
  </si>
  <si>
    <t>Management is terrible. The school is dangerous environment because the administration has no control of the school. Speaking of the administration, they have no backbone or experience for their roles. The school asks staff to physically manage students but do not support staff when parents have complaints on management's. You can lose the crenditials you worked hard for because staff are hotlined often with no support from the school their solution is to fire you.</t>
  </si>
  <si>
    <t>great environment, great people to work with.</t>
  </si>
  <si>
    <t>do not share management issue with employees always report to HR.</t>
  </si>
  <si>
    <t>Used to be great
Good benefits</t>
  </si>
  <si>
    <t>No opportunities for growth anymore
Socialist commission structure</t>
  </si>
  <si>
    <t>Good people, good staff members</t>
  </si>
  <si>
    <t>Poor management, underpaid and stressed</t>
  </si>
  <si>
    <t>Really good benefits including healthcare, vacation time, sick time etc.</t>
  </si>
  <si>
    <t>Majority of the time you are dealing with more than 3 things at once especially when understaffed, the training never ends (new training almost every month), 30 minute breaks, customers can be really rude at times, too many responsibilities for the pay.</t>
  </si>
  <si>
    <t>Good people around and it‚Äôs a nice office.</t>
  </si>
  <si>
    <t>Overworked and underpayed and performance review isn‚Äôt accurate.</t>
  </si>
  <si>
    <t>R√©mun√©ration et flexibilit√© et chouette √©quipe</t>
  </si>
  <si>
    <t>Charge de travail et horaire</t>
  </si>
  <si>
    <t>Looking back at it; it was particularly hard work, and the ‚Äúperk‚Äù like drinks were nice</t>
  </si>
  <si>
    <t>Management was failing, after I left my whole org fell apart. My manager demanded things that were unproducable constantly. Delivered on large projects and got no validation.</t>
  </si>
  <si>
    <t>Great work
New Technologies
Freedom to take any user stories and no compulsion</t>
  </si>
  <si>
    <t>Slow growth
Very Low compensation
Entering 5 words</t>
  </si>
  <si>
    <t>Good relationship with customers and calm your self</t>
  </si>
  <si>
    <t>A good place to work</t>
  </si>
  <si>
    <t>Residents create problems during work</t>
  </si>
  <si>
    <t>Steady work--great benefits.  Casual attire.</t>
  </si>
  <si>
    <t>Very stressful call-center--we were holding  up to 100 calls everyday when I arrived at work at up 60 days at quitting time.  Extremely stick rules for all metrics to be met to hold your job.</t>
  </si>
  <si>
    <t>Work on your own mostly, pension plan</t>
  </si>
  <si>
    <t>Treated like pond scum. Merchendisers are at the very bottom. You &amp;amp; your life hold no importance. You are replaceable. They will work you to death and use you up. Not appreciated or valued at all. 
They only hire young adu lki ts 22 to 30 for management positions. Rarely ever hire anyone over 30. All they care about is their profit but next to nothing will trickle down to you. They can donate 2 billion to BLM, but only give merchs a 25 cent raise. Pathetic.</t>
  </si>
  <si>
    <t>If you want to "sounds good" in your resume, then it might be worth.
Benefits are not bad, but compares what you contribute to the company, it is just OK.</t>
  </si>
  <si>
    <t>Over 80% of your energy need to be wasted on office politics, as you never know the person sitting beside you could be your manager's wife, uncle, aunt, father in law, or "mate" at night
Doing work smart could not be the reason to get promoted, but if you know the rule of the game, you will probably win. Example: when everybody looks like idiot in the meeting, and someone is doing the job incorrectly, the best idea is shut your mouth up, and act as an idiot as everyone else, otherwise , you will be "let go" soon. whenever anythings up, the first thing you should do is cover your own a**!
If you want to stay there in the rest of your life, you should either work hard as a DOG without no respect, or you work as an a**hole to get in good relationship with those big a**holes by ALL MEANS, this is the rule of the game at there forever.
System running down is a common "event" there, as LOW IQ people all over to do the system design, analysis, and management, and no one really care what they did for the bank really, no one care their peers really.</t>
  </si>
  <si>
    <t>Pay is good for sales position,</t>
  </si>
  <si>
    <t>operations team is unorganized, racist and terrible</t>
  </si>
  <si>
    <t>Very positive company culture and support from all levels</t>
  </si>
  <si>
    <t>Employment was based on passing the series 6 in a short amount of time. I was unaware at the time of hire my employment was contingent upon passing the test the first attempt and that I would be terminated immediately. I happened to be among the first round of employees they were terminating upon failure of series 6 on first attempt. Prior to me if an employee failed they were given another chance. I will say my branch manager was such a huge support and fought to see if there was anything that could be done.</t>
  </si>
  <si>
    <t>plenty of opportunities throughout the firm</t>
  </si>
  <si>
    <t>constant organizational changes to the firm</t>
  </si>
  <si>
    <t>Ok pay, work from home</t>
  </si>
  <si>
    <t>Slow moving up at this company, hardly any time off, no paid holidays, they don‚Äôt really care about you and they don‚Äôt know how to communicate well.</t>
  </si>
  <si>
    <t>none that I saw while being there for over 6 years.</t>
  </si>
  <si>
    <t>too many to mention in this small space , a nasty toxic environment to work in.</t>
  </si>
  <si>
    <t>flexibility with schedule and WFH, great benefits</t>
  </si>
  <si>
    <t>no growth in yearly pay</t>
  </si>
  <si>
    <t>If you want to grow, you just have to ask and you‚Äôll probably start getting trained to level up.</t>
  </si>
  <si>
    <t>* Great spirit within the local teams
* Interesting challenges to solve and huge impact possible
* Good work-life balance</t>
  </si>
  <si>
    <t>The floor staff on subacute</t>
  </si>
  <si>
    <t>Everything Else. Administration doesn't listen to any of their employees</t>
  </si>
  <si>
    <t>On the surface the HR team seems a like an encouraging bunch , but when you dig deeper they are just trying to keep their heads above water. Averaging over 100 plus open jobs with a time to fill at about six months , its like a digging a hole on a beach with a cup. The budget is shoestring but they have high hopes. Its a no win with you don't have the right people on your side.</t>
  </si>
  <si>
    <t>Pay , work life balance</t>
  </si>
  <si>
    <t>Exceptional Perks + awesome bonus.
Company provide medical benefits and family support.
Join company only if you want money and nothing else.</t>
  </si>
  <si>
    <t>Bad Korean Culture, master slave relationship between headquarter and subsidiaries, technically no growth, company follows military culture, HR is a puppet of management, not a employee friendly company. Foreigners are not treated well.</t>
  </si>
  <si>
    <t>You get paid on time</t>
  </si>
  <si>
    <t>All you do is to have meaningless meetings and hear others talking about your work because for reasons unknown, one or two "stars" in the team get to present everything. Some of your coworkers who just graduated from an average school a few years ago for reasons unclear to me take themselves to be the "expert" in the field, and definitely acted like they are better than the rest of the team and kept telling you what to do. I can go on with how toxic it is to work there, but you can save yourself some trouble and avoid this place. Oh btw, you better do whatever the leadership team tell you to do - including coming to the office to meet in person otherwise you'll be fired.</t>
  </si>
  <si>
    <t>good environment , helpful staff , hyguiene bad</t>
  </si>
  <si>
    <t>salary bad along with time</t>
  </si>
  <si>
    <t>There is not one 'Pro' at this company</t>
  </si>
  <si>
    <t>No Communication, so you can't do your job efficiently and correctly. No training. Gossip and extremely unprofessional Sr. leaders who lack much needed knowledge of managing an organization. Discrimination and you feel like you're walking on egg shells all the time. very heartless management with one-sided views who aren't open to others thoughts or suggestions. No empowerment; no room for growth; low team morale across the board, whether it's in the clinics or their corporate headquarters. Worse place I've worked in my whole life. Horrible work environment and thick air 24/7. If you want to feel undervalued and not appreciated for your dedication and hard work, :(, work here.</t>
  </si>
  <si>
    <t>- The people at this company are where it shines. It's a very close-knit group of people who genuinely care about you. - There's a lot of room for internal movement if you're okay with putting in max effort without the proper tools. - It's a great place to learn, especially if you're right out of school. - Small company, so you get direct time with leadership.</t>
  </si>
  <si>
    <t>- Startup company mindset without being a startup. For some reason, leadership can't get out of the old, toxic patterns many startups have like grind culture and "we're all a family here" attitudes. This company demands everything quickly and doesn't care care sustainability. - The company culture is poor. When I started, it was healthier. Now it's large workloads with little recognition. Very much an attitude of "keep grinding and don't stop." I wish they celebrated wins. - I grew to very much dislike the upper leadership, mainly COO and CEO. We were told that we were the experts on our projects, but then they'd tell you exactly how to do everything and give you unachievable goals. Very quick to speak and slow to listen. Leadership wants to have every department under their thumb and under complete control that they aren't willing to admit they don't have all of the answers. They should rely on the experience of those actually doing the day-to-day work, not just their own opinions. - Their business outlook is terrible. Everything is on a month-to-month basis. Leadership could tell you to focus all your time on one project for a month then scrap it the next. If they don't see success within a few weeks, they consider the initiative a failure. Definitely not how business projects work. Leadership is so focused on succeeding quickly that they don't care to give you the time or the resources to properly do your job. - From my experience/outlook, leadership is sexist when it comes to promotions. During my time there, at least two male colleagues received promotions while female workers (who had been there longer/were doing just as well) never advanced even though there was the room for their advancement. I don't think leadership feels like they have a preference towards men, but that's exactly what a blind bias is. They need to reconsider how they value their employees. - You will be expected to work without the proper tools. Anything outside of the meager platforms they already have is outside of the question. They aren't willing to invest in the proper tools for you to do your job. Very much a "use what you have" attitude, but their expectations and goals far outshine what can be done with what they gave us.</t>
  </si>
  <si>
    <t>Work Life Balance
Good People 
Fun Atmosphere</t>
  </si>
  <si>
    <t>Uncertainty of Job Security during a pandemic</t>
  </si>
  <si>
    <t>Flexibility for taking time off</t>
  </si>
  <si>
    <t>The insurance is so incredibly expensive!! The raises at 2-3% mean you need to change positions after 2 years to actually make money.</t>
  </si>
  <si>
    <t>The residents and co workers</t>
  </si>
  <si>
    <t>Everything else . Management , pay, short staffed</t>
  </si>
  <si>
    <t>Casual dress. General sense of friendliness at the office.</t>
  </si>
  <si>
    <t>The longer you work at Kipsu, the more you realize that the company is spinning its wheels. Yes, Kipsu was impacted by COVID-19 more than other software companies (being entrenched in the hospitality industry) but even despite that, before the pandemic and through the recovery, you can see that Kipsu is just sputtering along. The product barely ever changes. Sales goals are often not met. Bugs are rarely resolved. Customers request things that rarely ever get followed through on. As a whole the company is way too frugal and tries to DIY everything, which makes the employees feel strapped and overworked.</t>
  </si>
  <si>
    <t>RH has been around a long time and is trying to move into its next phase. Nice office space and nice management team.</t>
  </si>
  <si>
    <t>The company monitors your calls and watches every thing you do. They are also very intent on adhering to a scripted call and meeting quotas within a specific time frame. Which during a pandemic was almost impossible to meet.</t>
  </si>
  <si>
    <t>There are some pretty talented people there, but the only ones that last are the ones who are either yes people, or the ones who somehow happen to agree with management...</t>
  </si>
  <si>
    <t>Very toxic culture, crazy high turnover, big whale customers clearly steer the ship, very unlikely it will ever manage to turn a profit due to insane overhead. You can give you're all to the company, generally over-extending yourself, but the minute you disagree and push back, you're gone with zero warning. Promises are made to investors without factoring in the reality of how that will harm the employees and then employees are expected to make up for the inadequacies of management. The business chases whales instead of thoughtful business practices. Their business is too heavily reliant on service providers that make the concept of them ever actually growing from a startup to a mature company completely implausible. They've been around for 10 years and still consider themselves a startup and use that to make excuses for lack of vision and guidance. Buyer beware.</t>
  </si>
  <si>
    <t>some perks included free breakfasts and free cinema tickets</t>
  </si>
  <si>
    <t>This is for DMS UK located in London Bridge, United Kingdom.
A highly unprofessional company that is predominantly based on the labour of graduates or young people with little to no experience.
The company does not value experience and does not want to pay experienced staff what they deserve.
Employees are overburdened with work and constantly put under very tight, almost unreasonable, deadlines. There is no appreciation at all, no equal treatment, no internal training: just a constant flow of requests. 
The company expects employees to work overtime more often than not, to skip lunch breaks and, in general, to finish late.
There is a high level of turnover, partly due to the fact that employees do not pass their probation period and the company does not offer valid reasons for their dismissal. 
One of the worst, if not the worst company I ever worked for.</t>
  </si>
  <si>
    <t>Knowledgeable employees, great 401k match, great benefits</t>
  </si>
  <si>
    <t>Non competitive salary and compensation program for salaried/corporate employees, not good working hours, hidden expectations, decent management at corporate level</t>
  </si>
  <si>
    <t>-Lots of training opportunities and because it's under the class III FDA bubble, there's a ton of attention to detail skills you gain -State of the art facilities -really awesome co-workers -a lot of little benefits like gift card giveaways, team lunches, etc -great working culture</t>
  </si>
  <si>
    <t>YVFWC is a good place to work overall. They really have a mission-oriented approach and the heart of Carlos and senior leadership is in the right place. YVFWC is the kind of company that is dedicated to underserved populations and often provides services that are not reimburseable because it's the right thing to do. While it varies from clinic to clinic, it often feels like a "big family" type of environment with good people rallied around the same mission. Carlos' (YVFWC's CEO) is passionate about the community and is willing to take calculated risks to be the best in healthcare. The company is committed to actually providing good care and not just checking the boxes.</t>
  </si>
  <si>
    <t>Because the company is so mission focused and the federal funding can fluctuate, YVFWC relies on high productivity from their medical providers. Sometimes this causes burnout and frustration and causes a divide between clinical and administrative employees. That said, the providers are given adequate resources such as dietitians, behavioral health providers, and community health workers so they are not isolated in caring for their patients. These resources help shoulder the burden for the providers even though the volumes expectations may be high.</t>
  </si>
  <si>
    <t>pipeline, culture, opportunities and renumeration</t>
  </si>
  <si>
    <t>poor leadership in Singapore country division
too much "fats" at region level</t>
  </si>
  <si>
    <t>Work life balance.  Good Salary</t>
  </si>
  <si>
    <t>TOO much management not enough workers.</t>
  </si>
  <si>
    <t>Good working balance with great benefits</t>
  </si>
  <si>
    <t>Management rude and very tired</t>
  </si>
  <si>
    <t>Aprendizaje corporativo. Buena escuela de gesti√≥n</t>
  </si>
  <si>
    <t>No hay equilibrio entre vida personal y trabajo.</t>
  </si>
  <si>
    <t>Just like a govt office.</t>
  </si>
  <si>
    <t>Old people with ageing hutle culture. They don't allow you take risks</t>
  </si>
  <si>
    <t>Discount is okay
The night job is pretty fun when you get along with your colleagues
No management to deal with on nights</t>
  </si>
  <si>
    <t>Poor management - take advantage of the fact most colleagues cannot lose their jobs with no notice as a tactic for bullying and threatening behaviour. They basically like to think they own you.
No appreciation - you can have a really busy night and still get everything done and more, with not even a thank you. Help out at other branches again with no thank you, from your manager or the manager at the other branch.
Lack of understanding regarding how it is more difficult to sleep during the day due to life noise of the world, light and heat.
Poor attitude and behaviour from management - especially when they are coming in at the end of a long night. 
Lack of training - Training/continuous training is none existent for night staff, my induction was a 9-5 shift during the day in which I spent most of it on a till serving customers on my own. And the only training I got was regarding day shift jobs/procedures. I got 2 night shifts training with 2 Customer Assistants in which they are not paid extra to do, and after that I was pretty much on my own. 
Extra tasks that get pushed onto night shift are not communicated effectively leading to us been scolded because the task wasn't done/done incorrectly, for task which we have never been trained to do. Management just expects us to figure it out. 
Poor ineffective communication - Finding out after going to work that you were suppose to be at another branch therefore no communication regarding working at other stores, telling other store assistants and hoping the message gets through to the right people.
It feels like the morning management settings are downright hostility or apathy. neither of which make you feel good at the end of a shift.</t>
  </si>
  <si>
    <t>Lot of client experience and learning challenges</t>
  </si>
  <si>
    <t>Defragmented employee base due to client support</t>
  </si>
  <si>
    <t>- Pra quem est√° come√ßando a carreira √© uma grande escola
- Se voc√™ trabalha em √°rea digital, TI ou produtos voc√™ tem muita possibilidade de crescimento.
- Benef√≠cios s√£o muito bons
- Sal√°rio √© bom quando voc√™ negocia bem
- A possibilidade de fazer networking √© enorme dado a quantidade de funcion√°rios e contato com diversas √°reas
- Se voc√™ sabe jogar bem o jogo fazendo um bom trabalho e sendo pol√≠tica, vai se dar muito bem</t>
  </si>
  <si>
    <t>Plano de carreira definido
Bom para inicio de carreira</t>
  </si>
  <si>
    <t>Great benefits and that‚Äôs really it.</t>
  </si>
  <si>
    <t>They treat the contact center employees good in training than after you hit the floor it‚Äôs a different story. You get told not to call out but you have a lot of sick time to use before the year is up you can only carry over 40 hours. They customers are always rude and their surveys if they are bad you it affects your metrics badly.</t>
  </si>
  <si>
    <t>Excellent Colleagues and Manager
Good Learning Opportunities
Good Exposure</t>
  </si>
  <si>
    <t>Below par salary as per industry standards
Not good hike</t>
  </si>
  <si>
    <t>Band 1 and Band 2 employees have very good work ethic and drive.</t>
  </si>
  <si>
    <t>Band 3+ do not know what they are doing and everyone screws each other over for promotions and treats newer employees like slaves without proper compensation for the work they put in. Band 4+ are lazy and chase trophies based on the work their employees do without rewarding those that actually do the work.</t>
  </si>
  <si>
    <t>Good pay and benefits along with OT compensation</t>
  </si>
  <si>
    <t>Long hours and weekends can wear on you</t>
  </si>
  <si>
    <t>Great management and exceptional training</t>
  </si>
  <si>
    <t>I didn‚Äôt find many cons working there</t>
  </si>
  <si>
    <t>a lot of things to learn and develop</t>
  </si>
  <si>
    <t>Very bad colleagues and no motivation from managers or peers</t>
  </si>
  <si>
    <t>work environment is very good, seniors are helpful and knowledgable as most of them are from aricent and cdot
no work pressure 
good salary for experienced people who join VNL</t>
  </si>
  <si>
    <t>not much of developing work 
still not working in LTE 
no training for freshers which may prove a hindrance in their career prospects</t>
  </si>
  <si>
    <t>No pros for this company</t>
  </si>
  <si>
    <t>They can fire you anytime, not trustworthy!</t>
  </si>
  <si>
    <t>Great clinical variety/caseload. Loved the immediate team I was working with.</t>
  </si>
  <si>
    <t>A company that is happy to put profit over the wellbeing of their clients and clinicians. While the pay was terrible, the overburdening and undervaluing of staff was absolutely unacceptable. It was awful to see so many hard-working clinicians being run into the ground over unattainable billable hours, administrative tasks, reporting, marketing (yes, we were told to do our own marketing... Because why else pay for a Marketing Team) and managing the exhaustion of a taxing clinical workload. Can't imagine how a new grad would manage in such an environment. I abhor writing these sorts of reviews, but I feel obliged to hopefully stop any well-meaning clinician from tying themselves down to this company. Unrealistic KPIs, workplace expectations around billable hours do not allow for planning, collaboration or evidence-based practice. Terrible pay. Bonus scheme is impossible to benefit from. Poor communication from management. Constant micro-managing of schedules.
EDIT: Not an inclusive company - no flexibility or willingness to accommodate in a meaningful way for clinicians with disabilities.</t>
  </si>
  <si>
    <t>‚Ä¢ Coworkers are very knowledgeable. Senior employees will often juggle their responsibilities in addition to providing guidance whenever you need it.
‚Ä¢ Company "Peloton" awards (company-wide acknowledgement, gift card) can be granted from any employee to another for recognizing great work.
‚Ä¢ It is a smaller company with a tight-knit "family" feel, you get to know everyone from new hires to the president. Regular happy hours, ping pong/foosball, "President's Club" trips (normally all-inclusive to Mexico with significant others if company numbers are met annually), recreational sports, etc. help build and maintain friendships.
‚Ä¢ As an Oracle/Google partner, there is 100% probability of working with large, exciting organizations on a regular basis. 
‚Ä¢ Consulting allows you to work on multiple projects simultaneously, and switch to new projects regularly, which accelerates learning and introduces you to a wide variety of technologies.</t>
  </si>
  <si>
    <t>‚Ä¢ As a small company that supports many products, you will naturally need to wear a lot of hats and fill in to projects based on the demand of the sales pipeline. It is difficult to become a true expert or keep up with the latest released features in a few products when you need to focus 20-40 hours/week on unrelated products for another project. Because of this, you tend to be a more reactive resource in sales calls or new projects rather than a proactive authority.
‚Ä¢ Work from home options have started to be introduced, but remain limited and restrictive.
‚Ä¢ A significant portion of your pay comes from an "Incentive Bonus", where the only metric to meet the bonus is billing hours to a client project. The idea makes sense at a high level, but is a detriment to other initiatives within the company like supporting the sales team, internal infrastructure / demo environment maintenance, product development, training and certifications, documenting standard practices, and management / mentorship responsibilities.</t>
  </si>
  <si>
    <t>it all depends on which team you are assigned to work with. You could have an amazing team with a great leader or the opposite.</t>
  </si>
  <si>
    <t>low salary and ridiculous bonus performance 3%. 
No flexibility to WFH
Micro management
no career opportunities. You are stuck in the same role.</t>
  </si>
  <si>
    <t>1.You will get immune to the worst ever politics and unprofessionalism as no other company can be more unprofessional like this. 
2. You can learn how to deal with fake company and management like this. 
 3. You will learn how to digest the biggest lies, as each and everyone here is a liers and fake specially the HR and so called seniors.</t>
  </si>
  <si>
    <t>1. They never credit the salary on time in the history of this company not even a single time, moreover sometimes they do not even credit the salary and they do once in 2 months or once in 1.5 month. 
2. They have never credited performance linked amount inspite of fullfiling there criterion(once you complete 5 years) and no one ever got there plp amount till now. 
3. They have all information present in website or other sites are false and there are less than 20 employees overall and only 2 offices in total which they claim  in Singapore and delhi but there are no offices there. 
 4. Previous experience they show are all fake as there employees uses top company brand name to show they have worked there in past. 
5. They are not management consultants and they don't have any project ongoing or any client they make fool to new joiners as say they will give training but sadly they themselves need to attend some training as they know nothing about business. 
6. Almost everyone left from the company and those who are there always talks about running out once there salaries of previous months which was on hold for long time will get credited. 
7. They post fake job openings just to look cool in social media. 
8. They hire knowledgeable people for such a small time like one two or three months to get a task done, learn from them and then they not able to pay them the salary. 
9. Many more</t>
  </si>
  <si>
    <t>There are some really good teams.
Good benefits. Around 16 public holidays. Unlimited sick leave! Transport.
Some may like the culture here.</t>
  </si>
  <si>
    <t>You'll get hit by a grad culture. You would see how they move quickly up the ladder without much experience. It's bad for them too they unknowingly become pompous.
Food is not subsidized.
Expect your manager lay hands on your travel opportunity you worked hard for.</t>
  </si>
  <si>
    <t>Environnement tr√®s riche. Beaucoup de m√©tiers d√©couverts, surtout depuis la conception jusqu'√† la production d'a√©ronefs.</t>
  </si>
  <si>
    <t>La cin√©tique de l'entreprise due au trop grand nombre de personnel et des fonctions de niches des employ√©s.</t>
  </si>
  <si>
    <t>No pros to speak about.</t>
  </si>
  <si>
    <t>Management treats you like disposable asset everyday. You will regret joining this company.</t>
  </si>
  <si>
    <t>Your not held accountable for missing delivery dates
Pace of work is slow
Easy to hide</t>
  </si>
  <si>
    <t>Too many changes in leadership
Leaders are afraid to make decisions. - lots of second guessing 
Not a good place unless you have excellent political skills</t>
  </si>
  <si>
    <t>Used to be a good company</t>
  </si>
  <si>
    <t>CEO changed the whole thing, used to be customer first and willing to fix the fees, no longer the deal as the CEO changed the culture. Fees over everything. Manager also not willing to promote people and not really support for career advancement.</t>
  </si>
  <si>
    <t>Flexible working arrangements all around</t>
  </si>
  <si>
    <t>Leaders could use more training</t>
  </si>
  <si>
    <t>Great Benefits, pay in line with industry salaries. Many opportunities for promotion and to switch business areas.</t>
  </si>
  <si>
    <t>Too much bureaucracy. Lack of communication between business units and working groups, where the same project may be done by 3 or 4 separate groups without their knowledge.</t>
  </si>
  <si>
    <t>great company with great benefits</t>
  </si>
  <si>
    <t>none. Depends on the leadership at the time</t>
  </si>
  <si>
    <t>People were fun to work eith</t>
  </si>
  <si>
    <t>Not worth the pay at all</t>
  </si>
  <si>
    <t>Good benefits.  Unfortunately that's where it ends if you are in a sales role.</t>
  </si>
  <si>
    <t>I have never seen an organization that hates the sales staff as is the case at RBC Bank.  They constantly reduce the staff yearly while continue to increase the goals.  While sales people constantly get reduced they will turn around and hire more audit, risk and anything else that is a cost to the company while the department (sales) that actually brings in revenue is constantly under the gun and no matter how well you do the CEO still treats you like trash.</t>
  </si>
  <si>
    <t>You can work for home. Too bad you're working for free.</t>
  </si>
  <si>
    <t>Don't believe the fake reviews saying that they will pay on time. This will almost (always) never happen. I have had to wait over a month to get paid, and the pay is extremely low at that.
Like other reviewers said, the admins and the CEO (alike) of Cosmic Strands speak poor English, so it's difficult to imagine how they can possible judge quality academic work.
I have nothing good to say about them. I have avoided writing this review but they still owe me $100+ so they deserve it.</t>
  </si>
  <si>
    <t>Felt supported, loved my coworkers, loved the brand concept, hours are normal, Team United together, good benefits offered</t>
  </si>
  <si>
    <t>Would like to see the company grow faster, ability to grow quicker, salary raises with the growing inflation</t>
  </si>
  <si>
    <t>Great mission. Good technical stack and generally good skills within the engineering community.</t>
  </si>
  <si>
    <t>Seriously lacks leadership and direction from the top.</t>
  </si>
  <si>
    <t>Depending on your role, there's a good work life balance.</t>
  </si>
  <si>
    <t>No organization or strategy, employees not empowered or enabled to their jobs and a bunch of chauvinistic men who talk down to the female staff.</t>
  </si>
  <si>
    <t>Pay is decent for the work</t>
  </si>
  <si>
    <t>Have to pay for medical, not vested in retirement plan for almost 4 years, everyone is replaceable no matter how long they‚Äôve been there</t>
  </si>
  <si>
    <t>- underpaid (leadership acknowledged it, but couldn't change it)
- overworked
- no recognition
- toxic environment full of favoritism
- target of bullying and harassments 
- no career planning/growth/personal development opportunities (internal program had no courses of relevance to my role or desired career progression)
- poor communication
- no transparency
- loss of many amazing people in leadership completely changed the culture and how the department functioned
- had to fight for a referral bonus I was entitled to - and never received</t>
  </si>
  <si>
    <t>Home working 
Outbound calling 
Nice role with no strict targets 
Working with nice customers who want to help</t>
  </si>
  <si>
    <t>Money min wage 
Scripted calls very robotic</t>
  </si>
  <si>
    <t>Good and professional BPO and a leading company to grow</t>
  </si>
  <si>
    <t>To rules are there which need to be followed</t>
  </si>
  <si>
    <t>Nice place to work, good cafeteria</t>
  </si>
  <si>
    <t>New process when I was joined.</t>
  </si>
  <si>
    <t>good life-work balance and working hours</t>
  </si>
  <si>
    <t>no growth perspectives, management is unreachable and HR is an absolute shame</t>
  </si>
  <si>
    <t>Nothing as such only cons</t>
  </si>
  <si>
    <t>You will get free humiliation because the management has kept all relatives there</t>
  </si>
  <si>
    <t>Friendly officers you work with</t>
  </si>
  <si>
    <t>Management is terrible
Pay
Expectations, often doing work that should be done by maintenence companies.
No covid safety and cars not cleaned after positive test results.</t>
  </si>
  <si>
    <t>No early hours , could "check out" games for product knowledge purposes, employee discount.</t>
  </si>
  <si>
    <t>toxic upper managment, confusing floor plans, customers expect you to know everything about every game/system, the prices are non negotiable when it comes to trades, so customers get pissed like we just decided how much their worn out controller with drift-stick is worth.</t>
  </si>
  <si>
    <t>Very very good place to work from</t>
  </si>
  <si>
    <t>Very fun people to be</t>
  </si>
  <si>
    <t>Get raises often, opportunities for promotions if you want them, flexible schedule.</t>
  </si>
  <si>
    <t>Favoritism among employees, catty workers, lots of high schoolers who bring drama, lazy management sometimes, management changes often, lazy employees who don‚Äôt pull their load.</t>
  </si>
  <si>
    <t>Although the pros are less than it's cons but they are to be listed:
1. The new office in Phase 3 (there are more cons on this too) 
2. Lot to learn as a Software Developer (if you are in the right place)</t>
  </si>
  <si>
    <t>This would be more interesting to talk about:
- It works like a typical Service based company despite calling itself a product company.
- The so-called products are purely developed as per clients' requirements (projects). So if the same idea is to be used for a different client, everything starts from scratch.
- The Business Leaders (or the VP's) hold too much power. They can hire, fire, speak rudely(even abuse), or impose sanctions without any show cause or review. The Business leaders in KPIT(VPs or AVPs) decided by their tenure of service (15+years) OR nepotism.
- Hike is not connected to performance, it is connected to how much one is drawing. For eg. for Freshers, it would be high(~20%-30%) whereas for experienced it would be(~5%-8%). They may not choose to give a hike at all.
- The company posted Quarter on Quarter profits during CoVid -19 but despite that, they had to impose salary cuts and surgical layoffs.
- Leaves and salary are deducted if one even forgets to fill time-logs. There's no benefit of the doubt at all.
- HRs have no say in anything. VPs are the final point of decision.
- 3 level approvals for eveything, for even getting a site unblocked.</t>
  </si>
  <si>
    <t>Some people were cool, most were little butt kissers</t>
  </si>
  <si>
    <t>No one else is hiring anymore?</t>
  </si>
  <si>
    <t>1. UBS as a company has a great work culture and genuinely care for its employees. 
2. Supportive and knowledgeable peer group. 
3. Work life balance.</t>
  </si>
  <si>
    <t>1. It works as a body shopping practice where consultants are placed as per the management requirement and not as per their interest and competencies leading to dissatisfaction. 
2. Slow growth as compared to Big4s on the world.</t>
  </si>
  <si>
    <t>There is hardly a plus point... the India Unit of shared services GCC will be look good from outside, but from inside it has more pathetic work environment.</t>
  </si>
  <si>
    <t>Company will first behave like they are result oriented, then when you give more than 100% of the result, they will try to point out the fault in your ways of working (even if it is followed from inception) they will somehow try to prove that whatever you did is not worth it...
The Management is like kid, if you take any decisions on your own for the benefit of company and it does not involve your immediate line manager then your project your career is in danger... in short your sense of ownership can ruin your career in the so called result oriented product based company (you also might have to face termination)
GCC do not consider loyalty of a consistent performing person, even though you might have given 10years of your life to the organisation... of the management decided to kick you off they will do that by hook or by crook... in short there is 0% job security in ABInBev..
I would suggest even if you don‚Äôt have job in hand then also do not consider any offer from GCC... better  wait instead of playing with your career..
Worst Management and HR ever in my experience till date... Till the time HR was with Accenture it was nice.
Office politics is so much so that Indian politics is also seems better place...
Apart from formal work attire and GCC office infrastructure, there is nothing which should attract you.</t>
  </si>
  <si>
    <t>Good benefits, annual leave, pension, car allowance, Global leadership has a good philosophy that needs to trickle down to the rest of the organization</t>
  </si>
  <si>
    <t>Some managers play favorite and this affects growth prospects. HR in my station was not supportive of the associates</t>
  </si>
  <si>
    <t>LOTS of opportunity if you are willing to work hard and be humble. A company this big always has a place for the right fit person. It also has an endless opportunity to learn how things work in the financial services industry, if you are flexible, willing to move laterally, and in some cases, geographically.</t>
  </si>
  <si>
    <t>Generally pays middle-of-the-market and due to the economic downturn, doesn't bonus to meet/beat the market, as in past. Also, there are still a number of VERY difficult personalities and politics (as there would be anywhere), and some of them advance up and fast, so you have to be willing to tolerate that. Sometimes, finding the right management fit, which can make a vast amount of difference, can be difficult. You can make more and move higher by leaving and coming back. Lastly, you have to have a level of tolerance for the uncertainty of the market.</t>
  </si>
  <si>
    <t>There is not much of positives about this company as such. Still I am listing a few:
Salary is good
Township is good</t>
  </si>
  <si>
    <t>Bad HR Policies
Pathetic Food Quality
No safety measures are followed
Bad middle management
Bad work culture
No work life balance</t>
  </si>
  <si>
    <t>Muchas y muy buenas‚Ä¶ merece la pena</t>
  </si>
  <si>
    <t>Full time employees treated like contractors. Easy to get job offer but can get fired without notice and without severance. Age, gender and race discrimination rampant in Mrm team from top down</t>
  </si>
  <si>
    <t>Incompetent management from top down. Many cheap h1 visa laborers running show with limited understanding of Us financial system and financial markets. John waters incompetent.</t>
  </si>
  <si>
    <t>Liberal environment and socially vibrant culture</t>
  </si>
  <si>
    <t>There is some bullying behavior by senior leaders but very difficult to report or professionally resolve.</t>
  </si>
  <si>
    <t>CommCorp has made strides in their dei efforts, which makes the workplace culture inclusive and supportive. They actively encourage people from all backgrounds to apply and provide ongoing training for everyone to feel valued. The best part is that there are plenty of opportunities for growth and advancement within the organization. I've been able to take on new responsibilities and learn new skills to advance in my career. Overall, if you're looking for a great place to work that values DEI and offers room for growth, I highly recommend Commonwealth Corporation.</t>
  </si>
  <si>
    <t>There had been a lot of shifts and growth lately and if you don't understand the strategies being implemented, it can feel like a lot of change, especially in a remote environment. Work/life balance can also be hard to manage because everyone is so passionate.</t>
  </si>
  <si>
    <t>Vacation time only good thing</t>
  </si>
  <si>
    <t>No work life balance at all</t>
  </si>
  <si>
    <t>discounted products
good salary
job security</t>
  </si>
  <si>
    <t>stress
overwork
bad retirement plan</t>
  </si>
  <si>
    <t>The job is work from home.</t>
  </si>
  <si>
    <t>Management is lazy, everyone makes up rules as they go so no one is the same page then they try to hold you responsible for their slip ups. Only communication is teams so nothing is recorded. One manager says one thing and then one says another. Nothing about the job is professional until they want to get on you about something while the mangers can have kids crying dogs barking side conversations with spouses during team meetings but have the nerve to ask for your professionalism. After management bullied me into working on my day off on my sons birthday they had the nerve to use my computer dying as a reason to fire me. They also allowed me to work in the hospital during my sons surgery on my hotspots because they would rather that then be short handed and also used that as a reason to fire me since they couldn‚Äôt hold
The mangers accountable for not approving my time off correctly they fired me without incident on my first day back from vacation.</t>
  </si>
  <si>
    <t>Nice office, snacks, everyone is suffering together</t>
  </si>
  <si>
    <t>Moved offices 3x in 2 years, leadership shifted constantly &amp;amp; was secretive, harassment reports, legal concerns</t>
  </si>
  <si>
    <t>Being able to clock out and walk away for a bathroom break.</t>
  </si>
  <si>
    <t>Training sucked, hours sucked, most importantly doing everybody's work on top of your own and being treated as a person is nonexistent. You're just a number.</t>
  </si>
  <si>
    <t>Depending on Branch, could have the best co-workers, Good managers and environment.
Many many many benefits too
You get to flex that you work in a bank</t>
  </si>
  <si>
    <t>Your ability to get ‚Äúoutcomes‚Äù dictates how well you‚Äôre doing the job, nothing else
Your performance is then judged solely off personal opinions of customers put in on a survey. Which has so many flaws I couldn‚Äôt begin to list here. 
About 3 different times a customer who has had a bad experience somewhere else with TD say the auto insurance department or the C/C department or a different Branch, comes to my branch days later to do transactions then gets a survey for me but decides to give all reds (Yes this actually happened 3 times) because of his/her/their prior experience, that is not close to being my fault fam. And then the MCEs sit with you talking like i could have done something about it???? No matter how EXEMPLARY my service was, they are forced to voice their opinion completely concerning TD and im the fall guy, then the MCE will say ‚Äúthen why didn‚Äôt you ask how their experience with TD was‚Äù, in two occasions i did and when they voiced this, all i can do is apologize nothing else, after twice this happened the next time the MCEs just said ‚Äúit happens‚Äù yeah duh, not that its the Managers faults but at least my MCEs sometimes acknowledge the surveys have HUGE FLAWS for frontline associates (LCEA/CEA or Tellers as laymen say) in my 1 year with TD its happened 3 times, I know one coworker who had it happen numerous times in one quarter (3 months). And then when its not the case, customers bash you on this survey for doing your job. You ask for ID for transactions that need it they get annoyed ‚Äú(Sir/Ma‚Äôm) its compliance, we are protecting you, and us and most importantly your money from any cases of fraud‚Äù and then they say ‚Äúi been with td for blah blah blah years, why you asking for id‚Äù Sir i dont‚Äô know you?? I am new and i have never seen you? (I would not be this rude obviously) so I declined to process the transaction, but because they did other transactions with me before, then they get a survey and give all reds, reason cause i did my job, followed rules and compliance, and then they sit me down and complain and I‚Äôm just sitting there like you fam CANNOT be serious (in my head üòÇ). I did my job and you are complaining?, my bad I should have given a lady 10000$ from her A/C with no ID, she claims to have got up to walk her dog so she out of no where needs 10 bands?? HAHAHAHA , she had space for her ACS Card (Debit card) but not Gov ID, and you guys are upset at me for declining like you all told me to do??? THATS RICH. I guess I should have called a manager oh wait i did that once before and the same manager told them the same thing (We need ID for this transaction unfortunately) THAT SAME MANAGER looked me in the eye and said ‚Äúyou shoulda called me or any other mces or the branch or assistant branch manager‚Äù what DIFFERENCE would it have made? Haha. Then they said HR has to know blah blah blah yea whatever. HR didn‚Äôt even say anything, i doubt they gave a care about it. 
Ahh feels nice to vent, aside from that I like it here for the most part, my coworkers are beautiful people. Only thing that makes it worth</t>
  </si>
  <si>
    <t>1. The building that the headquarters in Richmond is located in is very nice.</t>
  </si>
  <si>
    <t>1. No matter what they tell you, it's an inbound call center.  You are expected to be available on the phones from the literal second (that's recorded) you log on, to the literal second (also recorded) you log off. You are given two 10 minute breaks, and a choice between a 30 minute or 60 minute lunch. If you choose the latter, your day is extended to accommodate the lost time on the phone. 
2. If you somehow end up in this situation with a degree, you will be reporting to an immediate supervisor whose highest tier of education is high school. This individual is responsible for pulling calls you took, supposedly at random, and critiquing them. If you fail an absurd metric, such as forgetting to provide a canned sequence of information at the end of a call, you will fail. Fail a call and you will forfeit any possibility of seeing a monthly bonus. 
3. Monthly bonuses: During my time in this position, my team generated premiums in excess of one million dollars every month for six months straight. If you failed a call, you would not realize any bonus for your contributions.  Fear not, for you WILL receive a rubber bracelet similar to the LIVE STRONG bracelets that instead reads "Million Dollar Club."  In addition, you will receive a coupon for a cup of soup redeemable at the cafe downstairs in the lobby. 
4. Employee Appreciation Days: Other departments are invited and welcome to join outdoor cookouts and half days with a cold beer. It looked very pleasant actually. I would have enjoyed them had we not been required to remain on the phones to continue servicing calls instead.
5. Staff Development: Career development is probably something that is valued in other departments. However if you are one of the unfortunate souls that make up the claims, customer service, or sales departments - you're doomed. During my two years there, I knew of only one person able to break out of these departments in a vertical transition to something like Finance, Underwriting, or Marketing. 
6. Weekends &amp;amp; Holidays: If you are in this role, you will be working alternating weekends. I have heard that since I left, you actually are compensated better for the mandatory weekend rotations. That being said, you are also expected to work Holidays. Every time you work a holiday, you accrue points. If you have enough points by the time a major holiday rolls around, say Christmas, there is a lottery system in place that works like a draft. If you do not have enough holiday points, you're working Christmas. While I was there, I worked every major holiday including Easter, Thanksgiving, and Christmas.
7. Hourly Pay: As stated above, I'm aware that there has since been adjustments to the hourly rate of CSR and Sales. When I was there, the base pay for normal business schedule was $13 / hour. If you wanted to see the most pay, you had to be willing to work from 4:00PM until midnight for $15 / hour. 
8. PTO: You must accrue the PTO before you can actually use it. You may not take off the same day that someone else on your team has reserved. There must always be enough people on the phones to service calls. 
9. The calls: Be prepared to deal with the absolute worst that this planet has to offer in terms of humanity or lack-thereof. You are the front lines for servicing phone calls for disgruntled customers that were foolish enough to fall for the product this company sells in the first place. The majority of your calls will be to either refund people that mistakenly purchased the policy at the time of purchasing tickets, or sell the policy itself, or notify a customer that their claim is not covered by the policy. I unfortunately had to tell numerous cancer patients that their condition was considered pre-existing and likely would not be covered by the policy at the time that they filed. By the end of the day, it was more common that I received some sort of death wish from a cancer patient than not. I can't say that I blame them. 
10. Management: They are aware of all of this. They do not care. They will always have a pool of people to draw from that hold a high school diploma, or are under employed with a bachelor's degree.</t>
  </si>
  <si>
    <t>Fast paced dynamic company, great working environment, continues to look after staff during the Covid pandemic. Great colleagues and leadership.</t>
  </si>
  <si>
    <t>Non of note, I have a very positive experience with IESA and would have no hesitation recommending this company.</t>
  </si>
  <si>
    <t>The office is nice, and everyone has a very "can-do" attitude. The location is close to the city. Working on a life-saving device is fulfilling.</t>
  </si>
  <si>
    <t>The device has limited utility and a small customer base; a new version has not been successfully commercialized in a decade or so. The organization is slow-moving and little attention is given to fixing systemic problems. Everything has to be brought before upper management to make a decision, and management politics therefore effectively stall almost all productive change.
Not a fulfilling environment for talented engineers and developers; the org is too bureaucratic and hierarchical to innovate properly, and there is little room to advance. Salaries are not competitive with other tech companies now present in the Pittsburgh area.</t>
  </si>
  <si>
    <t>The team, the cute kids that you interact with</t>
  </si>
  <si>
    <t>The management does not care about you, and they are very rude with who they pick and like.
Made me do a police clearance check, invest $200 in jeans for uniform and buy a watch only to get fired without cause.</t>
  </si>
  <si>
    <t>Good pay. . .good benefits</t>
  </si>
  <si>
    <t>Everyone there has worked with each other in previous companies. It's a big clique. There's little opportunity to provide a new way of looking at things. Some in senior management are entrenched bullies which you will not find out until you are in a job.</t>
  </si>
  <si>
    <t>The flexible schedule is the best thing about this job. You can clock in and out as many times as you want, as long as you complete your hours. You encounter amazing customers who you're really excited to style and get to know along the way. The job is fairly easy and fun to do. If you like shopping, then it's enjoyable!</t>
  </si>
  <si>
    <t>This company is like a roller coaster and offers zero stability. Inventory is lacking at all times, is constantly depleted and whoever is in charge of merch just cannot get it together. The same problems have been occurring consistently over the last few years with no changes being made. Hours are not guaranteed so if they're slow, they cut your hours and this is common during the holidays when you need money the most. They state they're about transparency but I really felt like a lot was hidden and not disclosed to employees. They welcome feedback but never put any of it into play. All of this in turn affects the customers and they are not given the best experience they could get. Covid was blamed for a lot of inventory issues however, other plus size boutiques never had problems maintaining a nice selection so this just didn't make sense. Raises were not given for a solid two years until a large majority of stylists quit. They offer performance based bonuses but because of cut hours, it just barely brought your paycheck back up to what it usually was, so it really did not feel like a bonus at all. The higher ups who have seemed the most qualified and capable have left and jumped ship which is very concerning. They are very concerned with public image and preach diversity and inclusion so employees that are chosen for public campaigns and projects are not necessarily picked based on merit, but on skin color. The D&amp;amp;I at Dia doesn't include every ethnicity, body type, gender, religion, education/experience.</t>
  </si>
  <si>
    <t>Beautiful locations, fun and diverse coworkers.</t>
  </si>
  <si>
    <t>Upper management treats staff as tools to be used and discarded. Micro management makes excelling at ones job extremely difficult.</t>
  </si>
  <si>
    <t>Awful management. The sales cycle for business intelligence is 4-12 months, but if you don‚Äôt score after month 2, they‚Äôll put you on a performance plan. Once you‚Äôre on a performance plan, your job will be threatened every day. Every single meeting with your manager you‚Äôll be reminded that ‚Äúupper management‚Äù wants you gone. It‚Äôs so toxic. 
If you do manage to get close to a deal, management will force you to change payment terms or contract years at the last minute. 
There is absolutely no company culture. I literally never met half the people on my team. Management has no interest in building a collaborative environment. 
There are no sales tools at all. GlobalData supposedly is a billion dollar company, but they couldn‚Äôt be bothered to invest in Salesforce admin, zoominfo, LinkedIn sales navigator, or any other standard sales enablement tool. They expect every rep to just magically find phone numbers and emails. 
Bottom line is that you can find a better sales job. I beg you to not take a job here. You‚Äôre mental health depends on it.</t>
  </si>
  <si>
    <t>Great Pay and Benefits
Great coworkers 
Serve military members
Great work facilities 
Great culture</t>
  </si>
  <si>
    <t>Long hours, including weekends and holidays
No back ups and unable to take time off
Can‚Äôt promote to better job unless replacement found
Lack of recognition
High management turnover 
Decreasing early retirement benefits
Can‚Äôt retire even after working 24 yrs</t>
  </si>
  <si>
    <t>Steady paycheck with decent management.</t>
  </si>
  <si>
    <t>Nothing to make a career out of, not much upside.</t>
  </si>
  <si>
    <t>Capable international team in UK and USA but not KSA and Dubai</t>
  </si>
  <si>
    <t>Bad organization of local projects</t>
  </si>
  <si>
    <t>The first thing that comes to mind is - None. 
But to be serious, two things: 
- The product HAS SO MUCH POTENTIAL that it will never reach.
- The people (whoever is left/or already quit anyway) - and yes, this statement 1000% excludes the cofounders.</t>
  </si>
  <si>
    <t>If you want: 
-tech bro energy sans tech vests
-no work-life balance 
-the bare minimum when it comes to benefits, salary, social connection, and inclusivity 
-unnecessary emotional labor 
-to see your coworkers distressed and confused
-have negative psychological safety
-experience gaslighting and retaliation
then this is the place for you.</t>
  </si>
  <si>
    <t>There are no pros to working for this company.</t>
  </si>
  <si>
    <t>I don't even know where to begin. The pay is awful, there are no benefits, the owners and upper management are vile and the environment is toxic. This is the worst place I have ever worked for. Upper management goes out of their way to put you down. They take any opportunity to speak to you condescendingly. I have never felt more disrespected at work. I have worked for a large corporate company since leaving club tattoo and I can say, they violate so many laws and basic practices. I do not suggest anyone to work here. The owners act like they are a Fortune 500 company when all they are is a strip mall tattoo shop.</t>
  </si>
  <si>
    <t>Great work/life balance, good benefits and incredible co-workers.</t>
  </si>
  <si>
    <t>- Overall direction from c-suite and department leaders are lacking
- Direction that does get shared company-wide tend to change regularly
- Career path opportunities aren't clear and management typically steers clear of holding these types of discussions
- Lack of diversity across leadership roles
- Management uses the guise of "collaboration" so they aren't held accountable for not making decisions</t>
  </si>
  <si>
    <t>I can't say there was anything good because I left immediately, ask as quick as I was able to get in.</t>
  </si>
  <si>
    <t>The time I spent here wasn't worthwhile. It only costs me my health because of the stressful job and management that always puts so much pressure on us. It was a bad experience.</t>
  </si>
  <si>
    <t>Challenging, demanding and you will be pushed to your limits.</t>
  </si>
  <si>
    <t>A recent Bloomberg article about the CTO is a reflection of the technology culture and how highly biased the technology culture is, which is left unchecked and unguarded by HR. A lack of transparency in renumeration and career opportunities.</t>
  </si>
  <si>
    <t>Great W/L Balance , Great Developments , Good environment , lots of data to work with ,</t>
  </si>
  <si>
    <t>Salaries  , evaluation system , Not a lot of conferences , not a lot of asset team work.</t>
  </si>
  <si>
    <t>The company offers the opportunity to work with different clients. I liked that because it helped me to enhance my knowledge.</t>
  </si>
  <si>
    <t>The company was stuck in the same spot. It needs to be more aggressive when it comes to growth. After all, the employees will grow only when the company grows. I was stuck in the same position for a long time.</t>
  </si>
  <si>
    <t>none, they changed training partners on me many times.</t>
  </si>
  <si>
    <t>their management is disorganized, They promised an exit interview, never contacted me, and seem to be interfering with my application for unemployment.</t>
  </si>
  <si>
    <t>few people are helpful but not all</t>
  </si>
  <si>
    <t>untimely payment, zero scope for learning, unavailability of hardware (at times you have to use your own devices), 3 months notice period, zero benefits (medical / leraning / no canteen)</t>
  </si>
  <si>
    <t>Great products, strong ethics, fun gig.</t>
  </si>
  <si>
    <t>Upper Management was cult-like and was hard to move up if you weren't cool enough.</t>
  </si>
  <si>
    <t>Best patients around, fulfilling work</t>
  </si>
  <si>
    <t>Management is awful. The worst I have ever seen.</t>
  </si>
  <si>
    <t>Good pay and benefits. Coworkers are helpful.</t>
  </si>
  <si>
    <t>No organized plan for reaching success, just wishes on slides. Business units struggling for individual survival and forced to go in opposing directions. Projects often disrupted after much work is complete. Widespread denial of complexity. Tech stack is disjoint, chaotic, and outdated. Attrition of senior technical talent is crippling. Multiple engineering cultures jammed together but none are modern.</t>
  </si>
  <si>
    <t>There are some lovely workers bees who are trying to smile while anxious and nervous while blatant disregard for their health &amp;amp; well-being are being instituted by CEO &amp;amp; upper management...EVERYONE IS TERRIFIED!</t>
  </si>
  <si>
    <t>Strategies for Alzheimer's Caretakers appear to be outdated and only cater to patients &amp;amp; caregivers who are extremely wealthy. Completely unaware there is a health crisis and safety concerns managing company like it is 1999.</t>
  </si>
  <si>
    <t>Unlimited time off. Generous salary.</t>
  </si>
  <si>
    <t>Training and onboarding process is a joke. Their policies are mixed in with every other document ever created. There is 0 sense of ‚Äúfamily‚Äù here.</t>
  </si>
  <si>
    <t>-Busy all the time if you do not like just sitting around. -You learn a lot. -The organization's mission is amazing. -Salary and benefits. Free to low health insurance.</t>
  </si>
  <si>
    <t>-Very hard to have a work-life balance. Management and team will call and text you when you are on vacation or after hours. Every thing is needed "ASAP" -My department makes racist and sexist comments and gossips all the time (leadership included). Nothing is done to stop it. -There is favoritism in all departments. -Micromanagement. -Management that does not do anything. Other employees in the department get things done, but management takes credit. -HR and leadership will not listen to complaints or reports. They say they are here to "help" you, but nothing gets done or corrected.</t>
  </si>
  <si>
    <t>compensation, benefits, office location, independence. Culture changing under new ownership, but Executive team is out of touch and grasping to stay relevant in new market landscape</t>
  </si>
  <si>
    <t>disorganized management, objectives unclear, trying to fix multiple issues simultaneously. Managements more concern about perception of performance rather than actually delivering quality results.</t>
  </si>
  <si>
    <t>Incredibly clean and beautiful store, nice management but that's about it.</t>
  </si>
  <si>
    <t>Department managers, old, cranky and on a power trip.
Depending on the mood of these people, that is how your day is going to go. And however they think their department should be worked, is how it should be, no questions asked. They like their department to be very personalized to what fits them.
These folks are the very problem of this store. Anyone who comes in as a new hire can have all the grocery experience they could ever need. It won't matter, the person running the department you are assigned to will teach you how it's going to go down, and it's wrong, inefficient and costs the company a ton of money.
They can't keep anyone, craigslist is always spammed by at least 15+ posting from the store. I don't know how management puts up with it.</t>
  </si>
  <si>
    <t>Nothing, worst company ever. Do not work here.</t>
  </si>
  <si>
    <t>Everything , they say they would move you up but nothing but lies</t>
  </si>
  <si>
    <t>Can't think of any thing good. Nice office view from the top, but what's a nice view when you hate working there.</t>
  </si>
  <si>
    <t>The worse managers, toxic environment.</t>
  </si>
  <si>
    <t>Interesting technology development.  Very talented engineers.  Excellent equipment and labs.  Endless opportunities to learn and develop new skills.  Very good compensation.</t>
  </si>
  <si>
    <t>Management is constantly shifted to new positions.  There is no long term planning due to the constantly shifting management.  Schedules and project management are non-existent.  The pace of work is endless, very difficult to achieve work life balance.  Too many politics involved in what should be a creative process.  Projects are ramed through to completion regardless of quality.</t>
  </si>
  <si>
    <t>Accommodation is on the TP</t>
  </si>
  <si>
    <t>Promotion process is not fair</t>
  </si>
  <si>
    <t>There are so many pros they are providing remote opportunity</t>
  </si>
  <si>
    <t>Salary is very low not affordable</t>
  </si>
  <si>
    <t>Good company, good for newbies, really great environment, friendly and approachable people.</t>
  </si>
  <si>
    <t>Expected to turn up early to get your system started up (on minimum wage)</t>
  </si>
  <si>
    <t>You can get your documents when you want to move here, plus have a view if you're lucky.</t>
  </si>
  <si>
    <t>The promotion is only about the city, and you will get a little bit of money, but NOTHING ABOUT WHAT IS EXPECTED AS IN TASKS...... Nice city, I can move, yeah you can do this even without this company. Their payments are later than late, and if you make use of their moving package, you're basically bound to them for several months. And then is the question if you will ever see the money again. The salary offered is just a joke, without any compensation. 
Once enrolled, it might look impressive, but it's not. First two weeks are vague, but it will fall together later. Then there are another 2 weeks, where they will teach you what you can't say. Just throw it out of the window once you start. Just call the people and beg them to work with you. Straight out of the training there is no one that will help you, you have to figure it out. They only care about numbers and how many you have reached. You are a number to them, and if you are not able to perform you will get a lot of judgement and look downs. 
The company itself is just one hot mess, especially when it comes to documentation, finance and communication. No person is treated the same and basically you sit there with your brave face, waiting to go home. No matter how independent you are, it is a job that requires no feelings, a lot of lying, and a skin so thick and strong no drill can enter. If you are not an agent, you're doomed to get the lowest of the lowest tasks, which is basically taking the remainings. 
Last but not least, the invisible HR department that barely reacts and do not want to be bothered. What they are doing is a big question mark. Instead hiring profesionals they take everyone and send someone of hire management to micromanage. Especially operational departments who apparently doing very bad in the numbers.</t>
  </si>
  <si>
    <t>Friendly Environment ,Good Management and Great Accounts</t>
  </si>
  <si>
    <t>the only downside they have is there payroll department</t>
  </si>
  <si>
    <t>Working at Teleperformance is a fantastic experience. The company has a positive work culture and provides ample opportunities for learning. I highly recommend it, as it is an enjoyable and rewarding environment.</t>
  </si>
  <si>
    <t>Not yet seen any such thing</t>
  </si>
  <si>
    <t>The office its big and its almost all time clean.</t>
  </si>
  <si>
    <t>The organization is completely non-existent, the senior managers are despots and do not hesitate to denigrate and even insult the workers in private meetings. They see workers as objects or numbers, it is a company that I would not recommend under any circumstances.</t>
  </si>
  <si>
    <t>None, the company has not shown any endearing qualities the entire time I was there. Across All roles I worked.</t>
  </si>
  <si>
    <t>Every employee who is in a production role is only seen as a seat. They do not look out for the wellbeing of their employees unless legally required to, and even then, they cut corners wherever they can. Their driving value is to look out for the bottom line, and they will spend as little as possible and avoid responsibility wherever it lets them save money. They are a predatory employer and will exhaust a workforce and adjust their standards to allow them to make as much money as possible. They do not practice the things which they advertise to their clients unless they have someone on location. If you are not in a production role, then you are held responsible for every situation where someone else drops the ball in process or procedure, taking up the slack and making sure goals are met, regardless of where the lapse occurred. There are no performance incentives, nor appreciation efforts made for support staff. They will run you into the ground and do not care about your mental health at all.</t>
  </si>
  <si>
    <t>Infrastructure, New NKP location. Learning &amp;amp; Development.</t>
  </si>
  <si>
    <t>Hiring managers are all biased and don't treat employees with respect. Especially India leadership. Don't expect salary increase or promotion if you're an internal employee as its all based on connections. Work life balance is all zero. Too much pressure to perform and micro management.</t>
  </si>
  <si>
    <t>Nice work environment and good senior</t>
  </si>
  <si>
    <t>less pay so be careful about that</t>
  </si>
  <si>
    <t>company pays its employees very well</t>
  </si>
  <si>
    <t>work is provided at steady pace and is very challenging</t>
  </si>
  <si>
    <t>Easy work
Flexible hours
No office work
Nice working colleagues
Freebies</t>
  </si>
  <si>
    <t>Low pay
Long hours
5 words
Smelly work</t>
  </si>
  <si>
    <t>Company policies are good. Work infrastructure is good. Caring disabled is good.</t>
  </si>
  <si>
    <t>Work culture is toxic in terms of people in the project. They are selfish and reluctant to share knowledge to new joiner. Even project manager is not able to support in providing the complete KT in proper way. They are more interesting in blaming and criticising the new employee rather than helping.</t>
  </si>
  <si>
    <t>If you would like to collect a paycheck and slowly progress this is the place for you</t>
  </si>
  <si>
    <t>Highly political. If you don't know the correct people you won't get promoted</t>
  </si>
  <si>
    <t>Overall a flexible company with a lot of resources</t>
  </si>
  <si>
    <t>Had to relocate, not fully remote</t>
  </si>
  <si>
    <t>Hybrid work model post covid, access to senior mgmt</t>
  </si>
  <si>
    <t>no clarity of growth and next level beyond Vice President</t>
  </si>
  <si>
    <t>very nice place to work</t>
  </si>
  <si>
    <t>long working hours sometime at office</t>
  </si>
  <si>
    <t>you have a job that pays well enough. Health benefits were pretty good.</t>
  </si>
  <si>
    <t>There are several individuals who are extremely toxic to work with and continue to diminish and ridicule others. There is a lot of in-fighting and pointing fingers. You will get blamed for all the problems upper-management created. There is not a lot of room to grow and the skills you learn here are not very transferrable in my opinion. A lot of home brewed applications. They do not value anyone who speaks up and tries to change things, they do not value quality or hardwork. You only are successful if you are one of the drinking buddies in my opinion. They are very deceptive in the hiring process for most people - this place is riddled with problems and they over promise in interviews. STAY AS FAR AWAY AS POSSIBLE.</t>
  </si>
  <si>
    <t>Better clothing, and nice customers</t>
  </si>
  <si>
    <t>Betrayal of employees, always looking to find mistakes</t>
  </si>
  <si>
    <t>* Stable Job * Growth for some time * Overall better pay in compared to other financial institution</t>
  </si>
  <si>
    <t>* Very slow growth in Salary and less promotion * Office Politics cause hinge in promotion unless you are favorite of the management and belong to the same race/national as the manager * Racial biased in Managers is preventing employee to move forward *</t>
  </si>
  <si>
    <t>Nothing at all just work</t>
  </si>
  <si>
    <t>There are no words for this</t>
  </si>
  <si>
    <t>Always on time for everything</t>
  </si>
  <si>
    <t>Demands way too much in multiple ways.</t>
  </si>
  <si>
    <t>Schedule was good. Morning or evening</t>
  </si>
  <si>
    <t>Constant change to try and stop fraud</t>
  </si>
  <si>
    <t>JPMorgan Chase offers excellent benefits to their employees. You will find a great balance in your work/family life. This company provides a career path for their employees. Great commission opportunity</t>
  </si>
  <si>
    <t>You will find the hourly pay to be on the low side. The corporate red tape is everywhere, so if you like freedom and flexibility in the workplace, this is not the right fit. They focus more on political agendas than business agendas within the corporation.</t>
  </si>
  <si>
    <t>Just Salary on Time Thats it!!</t>
  </si>
  <si>
    <t>Rest Everything Specially Office Politics and bad management</t>
  </si>
  <si>
    <t>Good benefits, management, all around beneficial</t>
  </si>
  <si>
    <t>None that I can think of</t>
  </si>
  <si>
    <t>Great co workers and atmosphere, also there was a great customer base.</t>
  </si>
  <si>
    <t>hours and pay were lower than needed.</t>
  </si>
  <si>
    <t>Literally the only good thing is the pay rate at this point</t>
  </si>
  <si>
    <t>They will ask you to do more than what you're getting paid to do just because they are your bosses and corporate 100% does not care about you like the little training videos make you believe. This place will drain you mentally just as much as it will physically.</t>
  </si>
  <si>
    <t>Great company, varied roles are possible, large assets</t>
  </si>
  <si>
    <t>Upper management not fully engaged in day to day operations</t>
  </si>
  <si>
    <t>Commission payout was nice, when you weren't nickle and dimed out of earnings</t>
  </si>
  <si>
    <t>No work/life balance
Trained to lie to customers
Constant threats to job
No store repair support of constant issues</t>
  </si>
  <si>
    <t>Well funded office with good intro to the job.</t>
  </si>
  <si>
    <t>There was little to no leadership for new people.</t>
  </si>
  <si>
    <t>Overnight auditing is great if you are someone who can easily keep yourself busy and prefer solitude to being surrounded by coworkers. Mostly low stress.</t>
  </si>
  <si>
    <t>If something does go wrong, you are usually the only person available to fix the problem. Referring back to my headline, if the management team is not particularly clued in on how to best handle situations, then the stress of that falls to you.</t>
  </si>
  <si>
    <t>1. They will make you learn every single thing about the (domain specific) industry</t>
  </si>
  <si>
    <t>1. As it follows start-up culture, they might just destroy your life
2. Your work-life balance will be like 1/10 (Only if I could rate it 0 on scale)
3. The organization doesn't work on "Company" principle, its rather more like a "Proprietary Business"
4. One Man Army - Karan Chechi have 100% authority to change rules/ company policies as per his own convinience
5. I can give 100's of Cons through my 2 years of experience at this place. If planning to join Techsci, do gather insights from "Former Employees" (and not Current Employees)</t>
  </si>
  <si>
    <t>None. By a mile, the worst company I have worked for in the security space.</t>
  </si>
  <si>
    <t>Toxic company culture and very disorganized. CEO takes ownership for accounts won and closed deals that he had no involvement in. Doesn‚Äôt care at all for employees well-being and career progression. CEO does not care for religious holidays and people having personal lives. Tried to make me work on Christmas!!!</t>
  </si>
  <si>
    <t>They pay you on time.</t>
  </si>
  <si>
    <t>The CEO is rarely heard from apart from a weekly email that contains little of substance. If the CEO is on a podcast or anywhere else, you will be encouraged to listen. The whole thing gives a real cult vibe.
Enjoy being tested, on everything? Good news, you will be tested on everything. 
Management may say they care but they don't,  it shows on a day to day basis. You are nothing but a KPI measurement to them.</t>
  </si>
  <si>
    <t>offers good benefits and is a teaching hospital</t>
  </si>
  <si>
    <t>toxic environment staff does not want to train new nurses because there is a fast turnover of new graduate nurses. New graduate nurses don't stay because of inadequate training. Nurses at the facility do not specialize in the OR. One day you can be circulating general and the next you'll be scrubbing orthopedics cases. Management does not hold surgeons accountable for abusive behavior such as verbal abuse, and unprofessional conduct and speech. Abuse of systems. Management abuses the staff. Lots of last minute mandations, cases are booked as emergencies when they are not so staff gets mandated and on call staff gets called in often for non-emergent cases. Decent benefits but not very competitive for what is out there and pay is not competitive. Manager is hands off and displays inappropriate conduct especially when nurses resign. He frequently says "staff don't leave their jobs, they leave their bosses". He asked a nurse in a interracial relationship to leave her husband because they were moving across. He pretended to be concerned for her safety claiming " Haitian men have a reputation of being abusive and controlling and that she could use this as her way out of his relationship. He claimed to have gone threw something similar. He lies to staff about minimum resignation requirements to get them to stay longer. He claims they will not be paid of any of their PTO if they leave with a 3 weeks notice. Also has a reputation of giving negative job performance reviews to keep operating room staff for transferring to different units so their is no room for growth in the organization. Work life balance non exsistent. You work 5 days a week and get 2 days off but one of those days your on 15 minute - 1 hour call for 24 hours which means you need to camp out at the hospital. (hospital infested with large flying roaches). You have to taken call a minimum of twice per month. No consecutive days off.</t>
  </si>
  <si>
    <t>Recently increased holidays from 25 to 30 for all staff</t>
  </si>
  <si>
    <t>Staff parking is a nightmare.
Almost impossible to improve your mandate level unless a senior underwriter leaves.
Dreadful training 
All systems are manual and little automation
Lots of telling tales and clicke behaviour 
The ops managers do pretty much nothing visible 
Constant restructuring
Low pay compared with competitors
Uber cheesey CEO</t>
  </si>
  <si>
    <t>The school district is Organized</t>
  </si>
  <si>
    <t>Terrible principals who bully new teachers and stop them from moving to New district to escape abuse</t>
  </si>
  <si>
    <t>Good location and holidays are observed whenever the stock market is closed.</t>
  </si>
  <si>
    <t>Employees are treated as simply assets without any job security. Reorganized completely to be operated in India and USA.</t>
  </si>
  <si>
    <t>Regular hours
Regular paycheck
Nice surroundings/convenient facilities
Great coworkers campus-wide 
Mostly great students
Mostly great faculty
Lots of freedom/autonomy</t>
  </si>
  <si>
    <t>Dwindling salaries/higher work load 
No raises for ten + years
Outdated technology
No yearly bonuses
Narcissistic management
Closed to new ideas
Nepotism to the extreme
No job security
Uneven distribution of job responsibilities 
(Note: this used to be a good place to work, but it has continually gone downhill)</t>
  </si>
  <si>
    <t>Busy and days go by quickly</t>
  </si>
  <si>
    <t>Under paid under appreciated lack of communication</t>
  </si>
  <si>
    <t>Fellow employees made this employer a bit bearable.</t>
  </si>
  <si>
    <t>No raises, very bad management. They would scream and curse at employees. Bad compensation packages, there's no even free tea or coffee. All this happened while the CEO was sitting pretty in his office with not so much as a thought as to how their decisions had impacted the lives of others with no warning. It was absolutely humiliating.</t>
  </si>
  <si>
    <t>Diversity, Global Impact, Work/Life Balance</t>
  </si>
  <si>
    <t>The management doesn't listen, toxic work environment can lead to harassment, or in my case, sexual harassment. My manager sexually harassed me in a work environment where it was just the two of us and to try to prevent my side from being taken seriously, she badmouthed me to the lead manager constantly without provocation. I've yet to hear anything from HR about my case against her. Not recommended.</t>
  </si>
  <si>
    <t>Great working environment, nice managers</t>
  </si>
  <si>
    <t>Long-standing hours, need to give yourself a week to get used to the habit.</t>
  </si>
  <si>
    <t>Absolutely none. I've worked as a government contractor for a decade, and this was the worst experience of my career. Stay away!</t>
  </si>
  <si>
    <t>Extremely disorganized, constantly going under reorganization, no work-life balance, routine late-night calls that turned into lectures if you didn't answer, regular 60+ hour work weeks, little to no guidance, no file organization, no communication, pay and benefits don't compare to competitors, lack of infrastructure and resources to support remote employees</t>
  </si>
  <si>
    <t>Agency network
Clients
Potential of what could be
Training
Underwriting</t>
  </si>
  <si>
    <t>Good people leave
Poor management/leadership
Overly hierarchical
Rigid/lack of agility
Pretend to care about staff and clients
Lack of market knowledge
Lack of insurance knowledge
Stuck in their ways with no desire for change
Lack of promotional opportunity (people either stay forever or leave relatively swiftly - the good ones tend to leave)</t>
  </si>
  <si>
    <t>On time and good salary</t>
  </si>
  <si>
    <t>Hawkins keeps herself away from emerging technologies,,,,in-fact it is yet to adopt 20 years back technology
CEO is Chairman and very autocratic
9 hours continuous useless meetings are common
No value addition from juniors accepted
Offices are from black and white era and so the thought process of management
High package to beginners is a dark conspiracy, so that they don't find any comparative jobs in market
CEO very smart in recruiting needy people who he can rule
Strongly advise not to join at any role
Quality standards of products falling drastically</t>
  </si>
  <si>
    <t>None- terrible company. Leadership rules my fear</t>
  </si>
  <si>
    <t>Everything- the pay, the communities, the corporate leadership</t>
  </si>
  <si>
    <t>Great team but hard to communicate. On site sushi chef</t>
  </si>
  <si>
    <t>Old timer are too old time to accept new things. AHM, HAM and AHFC are all in power conflict on who will gets what. Manager thought they are doing you a favor on giving you a job???? What were they thinking??? It is a mutual relationship.</t>
  </si>
  <si>
    <t>Good environment and friendly colleagues. 
Challenging projects and technologies</t>
  </si>
  <si>
    <t>Work overtime sometimes in some projects</t>
  </si>
  <si>
    <t>The pay is decent and you get benefits even being part-time after 90 days.</t>
  </si>
  <si>
    <t>Everything! They go on and on about safety and how important it is to them in orientation but as soon as you hit your first day all that goes out of the window. No trainer on my first day no help from the manager on duty. Even when I asked the manager about a trainer he just gave me a weird look and was like sorry we don't have any trainers we will find an employee to help you and 4 other new people for the night. That didn't last long then I was left by myself in a trailer moving and stacking boxes especially heavy boxes that require two people to lift them with no help. The manager would only come by to make sure more packages were coming down the shoot so it didn't get backed up on top. But never asked if I needed help or offered anything. After that first night, I didn't go back. I am not risking my safety for a horrible corporation.</t>
  </si>
  <si>
    <t>extreme paced learning experience, established structure you just need to learn and adapt to, looks good on your resume, friendly coworkers (if you're not management)</t>
  </si>
  <si>
    <t>insane micromanaging, lower level staff are overworked and underpaid, inflexible management, unable to impact change or improvements, very frequent restructuring and redundancies</t>
  </si>
  <si>
    <t>A somewhat diverse group of software engineers</t>
  </si>
  <si>
    <t>toxic work environment "managed" by an emotionally unstable group of people (who are also the team leads and friends with each other).</t>
  </si>
  <si>
    <t>Technical work is always impactful, interesting and challenging.</t>
  </si>
  <si>
    <t>Corporate obligations, political agendas, rotating director-level staff, consistent restructuring and de-prioritization of trust funded technical assistance activities takes up too much space and can cloud staff's ability to actually sit down and do the real work.</t>
  </si>
  <si>
    <t>Work at home. Bonus at year end.</t>
  </si>
  <si>
    <t>Micromanaged big time. Salary but have to work well over 8 hours a day to complete job.</t>
  </si>
  <si>
    <t>- Fantastic colleagues. Some of the best people I‚Äôve ever worked with
- Nice office in a great location
- You are given meaningful responsibility quickly
- Slick marketing and brand</t>
  </si>
  <si>
    <t>Scratch beneath the surface and there are a ton of red flags:
- The business is creaking under an enormous amount of tech debt. The C-suite refuse to engage with this problem as they have a poor grasp of technical concepts (and won‚Äôt listen to anyone who understands it), which means tech debt gets consistently deprioritised.
- High turnover in engineering leadership roles. Plus Freetrade has been without a CTO for 1.5 years now. Huge red flag for a tech company.
- Nobody in the C-suite has experience scaling a company at this stage of growth and it shows. The CEO has made a lot of bad bets in the past 1-2 years, takes almost no accountability for them and is clearly way out of his depth.
- Freetrade had an early mover advantage but the competition has come on leaps and bounds while Freetrade‚Äôs app has stagnated.
- The C-suite don‚Äôt care about employees. During the recent redundancy process they rescinded job offers, lied to employees about the number of redundancies needed (the figure turned out to be 2.5x higher than initially quoted), extended all probations so people made redundant would only get paid 1 week‚Äôs notice, etc.
- Lousy comms from leadership. The responses to recent reviews on here are a good example: zero empathy, lots of buzzwords, and not directly addressing concerns/criticisms that are raised.</t>
  </si>
  <si>
    <t>Some of the people are kind , knowledgeable and genuine and shock ! Don‚Äôt attend a church !</t>
  </si>
  <si>
    <t>Passive aggressive with some employees,  if you are deemed out the loop or not a church goer or vocal on employment law , the next world crisis means you are up for redundancy .
2020 Covid is a great example , furlough scheme and 10 people out the door 8 weeks on from first lockdown .
The culture is dead . It used to be more than about money , it used to be about people and excelling in engineering.
Claiming to have high Christian principles to get  contracts then casting staff away unnecessarily when the government would have funded them to stay until things return to normal is abhorrent.
A Man of higher authority can move a man but his soul is in his keeping alone . When they stand before their maker and state virtue was not convenient at the time so  made a compromise, then another and another  ‚Ä¶
I don‚Äôt think that excuse will suffice . 
The company has lost its way and is altogether toxic .</t>
  </si>
  <si>
    <t>Paycheck and benefits were incredible</t>
  </si>
  <si>
    <t>Starting at 9 am and getting hone between 8 and 11 every night does not allow for and schedule or family life</t>
  </si>
  <si>
    <t>Very corporate and as long as management likes you then you can pretty much do whatever you want.</t>
  </si>
  <si>
    <t>This is the most toxic company I've ever worked for. Management likes to preach their core values and brand promise it's nothing more than propaganda to brainwash their employees. There is a reason they can't keep employees around and why staffing is a revolving door. If you like constantly feeling like you're not good enough this is the perfect place for you.</t>
  </si>
  <si>
    <t>Junior Employees are very talented and deserve better</t>
  </si>
  <si>
    <t>President, COO, CEO and Owner</t>
  </si>
  <si>
    <t>Very well structured scheduling.
Opportunity to move up. 
Ability to learn a lot of skills for other jobs.</t>
  </si>
  <si>
    <t>Below average pay for similar positions at other companies.
Inefficiencies rarely get optimized.</t>
  </si>
  <si>
    <t>It was a paycheck for bills</t>
  </si>
  <si>
    <t>Lack of leadership and responsibility</t>
  </si>
  <si>
    <t>-During school year, you will have mornings and Fridays off so you can run errands. 
-It feels rewarding when students and families see the result of your efforts and trust that you will achieve their academic needs and goals. 
-Most teachers are dedicated and friendly. 
-You are in charge of your own center with your business style (as long as you make the sales). 
-You will learn a lot of how to run the business. It is a great opportunity in your resume if you want to grow in the education field.</t>
  </si>
  <si>
    <t>-Work on Saturdays. 
-Extreme pressure under the management when you fall behind the sale target, so the District Manager will micro-manage you. They will ask you to work above and beyond the job scope because you are salary paid. 
- They ask you to meet the sale while well managing current students' academic progress. Too many plates for one person. 
-Since the new CEO comes, they spend millions of dollars in new software: Microsoft workspace, Salesforces, Docusign. I don't even know if the implementation are necessary or they should use this money to other areas. They give you the new laptop but tell you it is not connected to the printer so you still need the old laptop for printing :O
-High turnover rate of education coordinators, because they are demanded to do so much work while under paid. There is no room for career growth if the center director stays for years.</t>
  </si>
  <si>
    <t>This is a company with history and reputation. It is well recognized, selective and takes care of it's employees.
Great pay, especially for the mid-west.
Perfect place to be if you want to be a business oriented engineering project manager.</t>
  </si>
  <si>
    <t>Seemed like a place where projects move slow and change is incremental.
Cincinnati didn't excite me.</t>
  </si>
  <si>
    <t>good colleagues and plenty of career progression</t>
  </si>
  <si>
    <t>senior management are slightly disconnected</t>
  </si>
  <si>
    <t>Some great people and great perks</t>
  </si>
  <si>
    <t>Incompetent management and no strategy</t>
  </si>
  <si>
    <t>Meilleur CE du pays, rien √† dire</t>
  </si>
  <si>
    <t>Great relationships with employees and students are amazing. Pay is okay depending on entry level, benefits are good.</t>
  </si>
  <si>
    <t>Over worked for no reason and long hours, Unexperienced people giving feedback to experienced teachers.</t>
  </si>
  <si>
    <t>el sueldo es muy bueno</t>
  </si>
  <si>
    <t>veniamos de qbe seguros, nos compro zurich y arruino la dinamica de trabajo hecho gente y automatizo todo. destruyo un unicornio</t>
  </si>
  <si>
    <t>On the occasion that you made good work colleagues - before they left anyway. Don‚Äôt get suckered into taking a job here it‚Äôs not worth it.</t>
  </si>
  <si>
    <t>A company that fleeced its own employees by promising a bonus scheme for promoting their new loyalty programme. Just to lose money on said programme as it didn‚Äôt make any sense then ignored employees when they requested for the bonus for the hard work promoting as they were promised. Just radio silence. Things like that happened all the time as well as lone working being the normal practice. Only one poor staff member on minimum wage on desk. No support especially with angry guests and managers were on call 24/7 and were pretty much harassed. Any wonder? Turnover in staff says enough. Treat staff like garbage.</t>
  </si>
  <si>
    <t>Pay rate was good for the amount of work that was done
Work and life balance 
Great supervisor and management 
Comfortable working around others 
Helpful teams</t>
  </si>
  <si>
    <t>Rotation was a bit overwhelming but you do get a hang of the shift change and it was every two weeks</t>
  </si>
  <si>
    <t>i love to resolve payment issue</t>
  </si>
  <si>
    <t>non payment because of issue with billing</t>
  </si>
  <si>
    <t>Great benefits, including paid time off and insurance premiums.
Standard office hours, with only occasional requests to work outside of business hours.</t>
  </si>
  <si>
    <t>Salary schedules were determined by job titles, which weren't always aligned with actual job responsibilities. While periodic market adjustments were performed, salaries were still lagging market rates a bit.</t>
  </si>
  <si>
    <t>Benefits &amp;amp; vacation decent &amp;amp; my schedule</t>
  </si>
  <si>
    <t>Don‚Äôt treat the employees well, management bias, retaliation for raising your hand &amp;amp; no repercussions for sabotaging and employees leaving other employees personal information out for others to see. Just a mess of a company</t>
  </si>
  <si>
    <t>Job security and balanced life if you can manage work</t>
  </si>
  <si>
    <t>Immediate managers are too powerful to handle, HR is gone case, No exception approved no matter of you are dying. Fearless Biased approach of manager as HR has no clue.</t>
  </si>
  <si>
    <t>Excelencia en calidad y perspectivas para el cliente</t>
  </si>
  <si>
    <t>Muy mal valorado el personal</t>
  </si>
  <si>
    <t>Bonus was met every year.</t>
  </si>
  <si>
    <t>No growth, no change, no positives, no leadership, no management support, no structure, no opportunities.</t>
  </si>
  <si>
    <t>Many great people in the company, but all it takes is one bad apple to ruin an experience.</t>
  </si>
  <si>
    <t>Toxic work environment in the department I was staffed in. People were regularly talked over or shouted down by one manager when they tried to speak up. Employees were regularly talked negatively about behind their back, and there was a culture of backstabbing. Little to no concern for the development of employees. I was constantly working on additional professional certifications while there, not once was it ever mentioned. You were expected to stay in your lane and only in your lane. Suggestions for improving things or ideas to save money were met with denunciation rather than appreciation. If you get sick with Covid for a while, don't expect any leniency when it comes to arbitrarily-set deadlines. Woke culture - DEI considerations always lend to racism and sexism, so not much difference between Airswift and any other company that has bought into DEI. But there was no concomitant appreciation for the only diversity that matters: that of experience and ideas.</t>
  </si>
  <si>
    <t>Good company for advancement and growth. .</t>
  </si>
  <si>
    <t>Management is out of touch with branch level operations. Sales goals are difficult to hit when they won't approve good credit deals and make the process more difficult than necessary.</t>
  </si>
  <si>
    <t>Great concept and salary was very competitive with other retailers.</t>
  </si>
  <si>
    <t>I think that Covid-19 stopped the company from moving forward with plans for the future. However the company was making drastic changes before the pandemic that were very difficult to work through.</t>
  </si>
  <si>
    <t>Great people
Flexible work culture
Used to have lot of new projects and learnings</t>
  </si>
  <si>
    <t>Management has been continuously changing post the merger of HP and CSC
No new deals in pipeline
Stagnant growth after achieving a certain level
No job security</t>
  </si>
  <si>
    <t>You get to work with good team players</t>
  </si>
  <si>
    <t>You encounter rude customers and you‚Äôre always short staffed</t>
  </si>
  <si>
    <t>You have to kill someone to not be promoted.  Short hours.</t>
  </si>
  <si>
    <t>Pay is low.  Large and burecratic.  Pay is low.  Go getters leave after they have a year or two of experience leaving the dregs for employees.  Unenlightened managment.  Management does not adjust to the market place.  As soon as someone figures out how to eat their cheese they are done but it will require the smaller more agile firms to lobby congress to remove the benefits that congress gives to larger banks.  They dont really have a path to the future.  They are not a technological company yet they thought at one time they could sell server backup space to their banking clients.  Keep in mind that their main hardware currently are IBM Mainframes from the 70s and 80s.</t>
  </si>
  <si>
    <t>Decent pay and benefits, real focus on training and corporate mobility, professional handling of COVID-19</t>
  </si>
  <si>
    <t>Like all government contractors, work is based on the ebb and flow of federal budgets. Sometimes you get lucky and end up on a well-funded contract with plenty of quality work, sometimes not. Not really a CACI specific problem, just the nature of the business.</t>
  </si>
  <si>
    <t>1.timely appreciation 
2.mid year review also if you are doing outstanding
3. Power ful hr .
4. Internal promotion 
5= good incentive</t>
  </si>
  <si>
    <t>You can get posting where you don't want .. but its a part of job.</t>
  </si>
  <si>
    <t>Searched for the best employees for every position, great family bond feel and work is executed to best possible ways.</t>
  </si>
  <si>
    <t>Dismissal procedures are horrendous and don't seem to care about destroying people's careers. Gone above and beyond Teslas expectations to better myself but what more to say....... absolutely shocking the HR's of Tesla</t>
  </si>
  <si>
    <t>Great products and some high calibre team members</t>
  </si>
  <si>
    <t>Leadership not empowered or willing to support genuine change. culture toxic</t>
  </si>
  <si>
    <t>Lots of opportunity for movement due to size of the organization.</t>
  </si>
  <si>
    <t>Just too big to get anything done. A lot of bloat and upper management. Compensation doesn't seem commensurate with stress and work levels. Work life balance isn't great.</t>
  </si>
  <si>
    <t>The work was challenging; I was never bored. The on-site facilities (fitness center, cafeteria, company store) are new and well maintained. The 401(k) plan is 100% matched up to 6% of the employee salary: that's unheard of! The recent annual bonus and profit sharing amounts have been generous.</t>
  </si>
  <si>
    <t>Never got a chance to be proactive. The project was based on 2 third-party software applications that were over-customized to perform tasks it was never originally intended to perform. The original installation was held together with Unix shell scripts and manual efforts assigned to the off-shore development team. Further enhancements continue to strain these delicately-balanced fixes. Immediate project management only got involved during a system incident (which occurred nearly monthly); otherwise, they were nowhere to be seen or heard from. Promotions did not appear to be merit-based, but whether you were a part of the good old boy network. Newer cubicles are now smaller: in my area, an aisle of 15 cubicles were resized to 19 cubicles.</t>
  </si>
  <si>
    <t>Fast pace environment helps refine management skills.</t>
  </si>
  <si>
    <t>Abusive, toxic environment and practices.</t>
  </si>
  <si>
    <t>Creative colleagues and business travel</t>
  </si>
  <si>
    <t>Poor work environment and hours</t>
  </si>
  <si>
    <t>Really great culture and awesome people to work with</t>
  </si>
  <si>
    <t>Hot and cold working outside as a UAS pilot</t>
  </si>
  <si>
    <t>good co workers and nice money and benefits</t>
  </si>
  <si>
    <t>they creep on your Facebook looking years back for a reason to fire you or lay you off. Even if its political</t>
  </si>
  <si>
    <t>The pros are you enhance your skills with speed being able to work on a very tight time schedule people skills customer relation and merchandising.</t>
  </si>
  <si>
    <t>When you're there if you're good at your job you are overworked under appreciated underpaid some stores are different but at the store I worked at it's not it was horrible</t>
  </si>
  <si>
    <t>A very good salary and good cooperation between staff.</t>
  </si>
  <si>
    <t>Some times workload is very heavy.</t>
  </si>
  <si>
    <t>Good company with lots of growth</t>
  </si>
  <si>
    <t>Hard to climb the ladder without playing company politics.</t>
  </si>
  <si>
    <t>Free snacks, some free beer.</t>
  </si>
  <si>
    <t>Everything. Avoid this place like the plague.</t>
  </si>
  <si>
    <t>The work was okay, the team was pretty good</t>
  </si>
  <si>
    <t>When I worked there, management was a mess. I've heard its gotten better from coworkers that still worked when I left, but when I left it was very stressful.</t>
  </si>
  <si>
    <t>Fuel Card
That's it, the Fuel card.</t>
  </si>
  <si>
    <t>It's a work at home job</t>
  </si>
  <si>
    <t>Supervisors, broke system, micromanagement, computer issues, lack of support, everything</t>
  </si>
  <si>
    <t>team work and support system</t>
  </si>
  <si>
    <t>Clocking out at end of shift</t>
  </si>
  <si>
    <t>Shocking bad salary 
Bully techniques by management 
Union sides with managment</t>
  </si>
  <si>
    <t>Innovative technology, smart developers, great industry knowledge</t>
  </si>
  <si>
    <t>Middle management is bloated, incompetent and has no understanding of the technology
The CEO is a puppet of the VC firms and is doing everything he can to artificially drive up the company's value
They have had poor execution of market strategies and very unhappy customers. They are driving all of the good talent out and outsourcing product development
The CEO has hired the worst team I've ever worked with, all friends from former companies
They systematically let go of people once they have reached a certain age/salary
Terrible HR department, very unethical
Complete lack of diversity within the organization</t>
  </si>
  <si>
    <t>Offer competitive compensation and benefits</t>
  </si>
  <si>
    <t>Unmatured software architecture and college project</t>
  </si>
  <si>
    <t>Project was good which I was working.</t>
  </si>
  <si>
    <t>1. Management is most poorest thing in SmartData.
2. Most of project is from upwork so no work life balance.
3. No facilities, leave policy are worst.
4. My reporting manager was worst employee in SmartData, takes all the credit in the name of mine.
5. Please avoid this company as much you can.</t>
  </si>
  <si>
    <t>Best environment and salary is also good</t>
  </si>
  <si>
    <t>NO Pros at all in this company.</t>
  </si>
  <si>
    <t>Lot of cons don't work</t>
  </si>
  <si>
    <t>The mission (on paper) is easy to get behind. The office space is cool with lots of food options nearby. The CEO seems pretty invested.</t>
  </si>
  <si>
    <t>Leadership sets unrealistic expectations. Outdated hiring strategy/process. They talk about the company culture as if it‚Äôs a really empowering place to work, but it‚Äôs not. Micromanagers galore, due to unqualified promotions/hires.</t>
  </si>
  <si>
    <t>New headquarters downtown Minneapolis
Experienced executive team
Great growth opportunities</t>
  </si>
  <si>
    <t>Decision making by committee can make impact feel slow</t>
  </si>
  <si>
    <t>Both side cabs
And nothing else</t>
  </si>
  <si>
    <t>No salary on time
Poor management
Shift change every week 
No night allowance</t>
  </si>
  <si>
    <t>Good thing I went out of the company still sane</t>
  </si>
  <si>
    <t>This job and this company will bring out all the worst in you. With all the problems and challenges you encounter each day, the demands and pressure, your patience will surely run out. It will then brong out all your bad side for you to cope up with what you are experiencing</t>
  </si>
  <si>
    <t>TP is innovative, supportive and a respectful place to work at.</t>
  </si>
  <si>
    <t>not having many back office accounts.</t>
  </si>
  <si>
    <t>Private company with a great business model and company structure, offers wonderful opportunities, rewards persons that show ability to take on responsibility</t>
  </si>
  <si>
    <t>Growing so fast, their training and regional teams struggle to have time to support on-site staffs, so communication is slow, and leadership goes to the fires; Also, there is lots of corporate reporting that takes time away from on-site work.</t>
  </si>
  <si>
    <t>Flexible with time off. Work from home.</t>
  </si>
  <si>
    <t>Everything else. Management has no clue after the company was sold and restructured. The CEO is a know it all who clearly knows nothing of media production‚Ä¶and the employees are not happy.</t>
  </si>
  <si>
    <t>If you're ex-military or go to church with the boss, then this is going to be a great place to work.</t>
  </si>
  <si>
    <t>Otherwise, get ready for divisive political battles every day you go in to the office.  They'll snooker you in with high-falutin' talk about making it a great place to work and being there for their employees.  They'll cater a lunch every month and hold meetings where you can speak up and state your views.  But as time goes on, you'll start to realize that no one is listening.  And those meetings are starting to add up, and they're all supposed to be on green time.  And then you'll program will get cut by the government for no reason, and it'll be adios muchachos.</t>
  </si>
  <si>
    <t>Innovative Worldwide Talented Passion Drive</t>
  </si>
  <si>
    <t>Transparency Training Sharing Development Conflict Management</t>
  </si>
  <si>
    <t>PTO. Flexibility. Training. Logo Wear. Site Teams.</t>
  </si>
  <si>
    <t>Pay is horrible. Benefits are horrible. Always overworked, under paid and under appreciated. Lack of Support from Upper Management.</t>
  </si>
  <si>
    <t>Freedom in classroom to teach using your own style</t>
  </si>
  <si>
    <t>New employees hired at a higher wage than loyal, longtime employees. Be careful.</t>
  </si>
  <si>
    <t>Creative atmosphere and deep Disney history 
Product is happiness and the environment reflects that and makes it a great place to work.
Multiple opportunities for advancement</t>
  </si>
  <si>
    <t>Sporadic workload
Compensation could be more competitive</t>
  </si>
  <si>
    <t>- Cares about development. You get an assigned dedicated who is there to help me personally and professionally. I loved my dedicated and was able to go to them with any account issues or to discuss when I was ready to be promoted.
- It was easy to take time off and it was encouraged. You weren‚Äôt give many days total but I‚Äôve heard that‚Äôs changed. But the process and approval to get time off was great.
- Office life was great and then they turned to a flex model so you could work in office or at home
- Great people. I made some of my best friends with the company.
- Great work-life balance and if you were working to late your dedicated and teams would work to lighten the load.
- Learn a lot about media relations and social media</t>
  </si>
  <si>
    <t>- You have 5 clients which was slightly too much. I think 4 was a sweet spot.
- Pay is average 
- Not many cons. Loved my time here.</t>
  </si>
  <si>
    <t>I learned a lot working at Meta. Met a lot of amazing people.</t>
  </si>
  <si>
    <t>Grossly underpaid and overworked. They spend more time blaming and finger pointing than actually working the issues. They don't care about the employees.</t>
  </si>
  <si>
    <t>‚Ä¢ wonderful teammates who truly become friends for life (but more in the ‚Äúwe share PTSD‚Äù kind of way a lot of the time)
‚Ä¢ benefits are fine, nothing crazy
‚Ä¢ opportunities to learn are a big one here, granted it‚Äôs often because we were understaffed and more junior team members had to step up and figure things out above their title/pay grade</t>
  </si>
  <si>
    <t>‚Ä¢ there‚Äôs so clearly one side of the business that gets prioritized in terms of support, vision and growth. A whole 50% of the team doesn‚Äôt get that experience. 
‚Ä¢ no work/life balance. At one point I was clocking 250 hours a month
‚Ä¢ nobody here is able to really and genuinely help individuals grow towards career goals
‚Ä¢ the favorites game is absolutely ridiculous. There‚Äôs a small circle of people beloved by the Founder that can do no wrong, even after serious complaints about bullying and lack of work‚Ä¶you‚Äôll still see them getting promotions
‚Ä¢ Harassment isn‚Äôt handled well here. There were several employees complained about constantly and every time it was reported HR/leadership acted like they had never heard of this issues before. So, either they don‚Äôt communicate or they don‚Äôt care. But don‚Äôt worry, those abusive people got nice promotions. 
‚Ä¢ feedback is nonexistent. 
‚Ä¢ Founder is frequently inappropriate, making moves on employees at social events, drunk dialing in the middle of the night to scream at your or cry at you, just really unstable.
‚Ä¢ DEI work is honestly run by a really wonderful person who has built a committed team, but leadership does almost nothing to pull that into actual day to day work and instead uses it as a flashy award submission.</t>
  </si>
  <si>
    <t>Good place to start a sales career. Organized company with best sales tools available in the market.</t>
  </si>
  <si>
    <t>Bro culture and lots of social politics.</t>
  </si>
  <si>
    <t>Prior to October 2021, we hired a group of good-hearted people who worked their tails off who owned Election Day 2020 coverage, January 6 and the COVID story with little resources. The people next to you wanted you to do well, and you wanted to them to do well too. Friendly and talented journalists</t>
  </si>
  <si>
    <t>Since relaunching, Newsy has made problematic hires whether it is people with questionable social media posts or minuscule journalism experience. The company never learned from its mistakes despite relaunching several times of the last five years. Most are overworked, benefits were slimmed down in 2021, anchors are just faces and not leaders and managers don't manage. Internal politics have gotten nastier. Newsy doesn't stand out anymore and it is just trying to be like everyone else...but with purple graphics. The editorial direction has reverted back to the bad habits of traditional journalism, such as "getting both sides" and breathless live news coverage. Employees also do not know where they stand with influential managers and get tossed to the side or pigeonholed despite employees pushing back and speaking up.
At least 5 directors were told to apply for the same job they had so they could keep their position during the relaunch. Some reporters were automatically shifted to a new team and didn't have to worry about their jobs while others were told to move to Atlanta with little assistance or guarantees or face termination. Again, this company has made the same mistakes over and over again for years.</t>
  </si>
  <si>
    <t>Getting to work with motivated students</t>
  </si>
  <si>
    <t>Hours are not very flexible</t>
  </si>
  <si>
    <t>Company is pushing for growth; top leadership transparency; same level coworkers are nice and helpful; remote working.</t>
  </si>
  <si>
    <t>VERY heavy work loads; poor program management; low pay for the amount of hours worked; zero work life balance; little room for advancement; client can be quite abusive towards employee with little to no correction from program leadership; benefits are not very good and expensive; training is poor on all levels; program leadership is selfish, manipulative, demotivating; way too many trackers; badly understaffed - forget taking a vacation you‚Äôll come back to an even worse situation than how you left it since there isn‚Äôt anyone who has enough bandwidth to truly cover your multiple desk loads.</t>
  </si>
  <si>
    <t>I'm proud of all the experiences I gained from the company that'll surely be useful to me in all facts of my career.</t>
  </si>
  <si>
    <t>All my efforts weren't good enough for the owners who were too perfectionist for their kind. I understand that they just wanted their business to thrive but their leadership style came off as micromanaging that they lacked trust on their people. It wasn't a very pleasant experience because our bests were always not enough.</t>
  </si>
  <si>
    <t>The company truly cares about people having access to tools and programs to further self development. Offered flexible work from home schedule pre covid times (this may have changed).</t>
  </si>
  <si>
    <t>Once acquired there were mandatory daily morning calls that were more aimed at discussing how to be successful selling insurance which did not apply to the role. Parking was sometimes challenging. Constant construction. Compensation.</t>
  </si>
  <si>
    <t>Good work life balance, coworkers were nice, got to do some proposal work</t>
  </si>
  <si>
    <t>They tend to forget about people who aren't in the main office. They keep saying they will let you try new areas but once they find what you're good at you are stuck there. Doesn't feel like you have much chance for growth if you aren't in the main office.</t>
  </si>
  <si>
    <t>Some great people, there are an elite few earning a VERY comfortable living while still very young.</t>
  </si>
  <si>
    <t>Biggest problem is the non-achievable 10 calls per days. Average is 5 on the sales floor so the average commission percentage is 5% this is way below the industry standard. I was on 1%. It just means you can sell and sell, but if you don't follow their silly rules. They pocket the money, and you get paid nothing. 
Secondly, it's a revolving door. Far too many leaving, far too many joining. Check the terms of your contract, everyone has a one week notice period. They really couldn't careless.</t>
  </si>
  <si>
    <t>There are no pros in this company.</t>
  </si>
  <si>
    <t>No work life balance. Promotions are granted not on the basis of merit but on flattery. Salaries are pathetic.</t>
  </si>
  <si>
    <t>Great Training and Support System</t>
  </si>
  <si>
    <t>Very poor compensation plan for a Big Company</t>
  </si>
  <si>
    <t>1Path is a good place to work if you need experience and you need it quick. You will be tossed into the deep end of the pool and you will learn how to administer lots of systems very quickly. 
This is good because even though you may not know everything, you will have lots of assistance from senior positions. 
The company was also able to pay for my certificates, testing material, and any studying courses that I needed. Overall, it was a good place to work at until a certain period.</t>
  </si>
  <si>
    <t>The company is cheap - plain and simple. Every year, our insurance would go up but our benefits would go down.
The next thing to talk about is promotions and salaries. These were poorly handled as well. During Covid, promotions were completely frozen and so were any merits or bonuses. We were urged that "cash is king" but at the same time we got our client base increased with very huge clients and new people were being hired. It doesn't matter if you are a top tier worker or the lowest tier, the company sticks to a 10% rule when giving you a promotion. It doesn't matter if you literally gave the company your life, covered on call shifts, or handled multiple projects - 10% was the max you would get. 
The expectations. If you did your work and showed effort, work would get piled on you. You would get selected in a private chat or a private group to do work before anyone else because you did a great job - until you get burnt out while the people that had lower numbers are twiddling their thumbs. There was even a case where one of the managers berated me for not taking on his project but when I informed him/her how much I had on my plate I was told to "take it easy and that it was just a joke."</t>
  </si>
  <si>
    <t>I love working with customers, as well as sharing my knowledge with them, abs helping them understand certain important aspects of picking out certain/specific lights, along with making sure it is the proper size, style, or even function that would suit them best.</t>
  </si>
  <si>
    <t>Unfortunately, we had a store closure, which surprised me.. because I thought we were bringing in fairly good profit, I can easily say, I definitely surprised myself being my first sales job in the first place!</t>
  </si>
  <si>
    <t>Working with reakly good people</t>
  </si>
  <si>
    <t>It is not a well run company</t>
  </si>
  <si>
    <t>Great company! Many good people. Friendly atmosphere. Great place to begin your career. Great entry level positions. Good pay. Good benefits.</t>
  </si>
  <si>
    <t>Poor communication from midlevel management. Must believe in and support your people. Lack of trust for midlevel management. Takes too long to make sound decisions. Too many meetings..</t>
  </si>
  <si>
    <t>Very flexible schedules
diversity in the workplace
great atmosphere</t>
  </si>
  <si>
    <t>The pay didn't equal the workload
Management did not always allow growth, and some could have favorite employees.</t>
  </si>
  <si>
    <t>Good stable income, employee stock options at the 4 year mark, super fun people and work environment.</t>
  </si>
  <si>
    <t>No work life balance,  zero weeends off, work every major holiday,  you can make several times the money selling other vehicle brands.  Every one of my friends that sell other car brands make much more then the Owner Advisors  at Tesla and don't work nearly as many  hours.</t>
  </si>
  <si>
    <t>Absolutely none to address. Shame on you Jenavalve for what you do to people</t>
  </si>
  <si>
    <t>Bad place to work, people come and go because toxicity of managers and team leaders who think too much about themselves and blame others for own mistakes. Tissue team leaders steals your suggestions and ideas and considers them as theirs. Low paid job for work you do. 5 stars reviews are fake accounts!</t>
  </si>
  <si>
    <t>People on the team were generally friendly, although there were some extremely, unpleasant personalities.</t>
  </si>
  <si>
    <t>You will not be able to get any assignment (or some demanding clients) if the team dislikes you. The communication if Munck Wilson Mandala team in involved is not transparent. You might have worked hard but no appreciation from the management, only blames or accusations will be received. Hands down the most disappointing years of my career spent here.</t>
  </si>
  <si>
    <t>They like to have fun, some like Halloween and a few dress up and participate, that was nice to see. They like potlucks. This was pre-COVID 19. Adaptation to COVID-19 lockdown was smoother than a lot of larger companies. Many people were able to transition to WFH.
You can learn about the industry from a non-siloed role but that means you're doing a lot of work that really should be given to multiple people.
Benefits are affordable and decent. You can see a specialist without too much fuss from insurance claims. Direct deposit.</t>
  </si>
  <si>
    <t>Very limited career progression. Someone has to vacate a role for the next person to interview / be considered for it. There is a long waiting period before you can make progress.
Long hours, long days. Micromanagement, micromanagement, micromanagement.
I did not find the environment cohesive.</t>
  </si>
  <si>
    <t>Close knit group that paid well.</t>
  </si>
  <si>
    <t>A tremendous amount of pressure to do more than a normal position.</t>
  </si>
  <si>
    <t>Work from home(but that is Covid related)</t>
  </si>
  <si>
    <t>Benefits are extremely expensive, dont want to pay their employees what their worth, horrible management, no working with employees if management has issues with them - just fire them or demote without any warning. Management is extremely fake. Unrealistic expectations for the amount of pay. Won't pay you over time.</t>
  </si>
  <si>
    <t>I loved my job, hated my bosses! Bunch of vicious back stabbing lying women who will throw you under the bus to make themselves look better. Will write you up for following their instructions to save face with the customer!</t>
  </si>
  <si>
    <t>No loyalty to hard working employees. I worked there for 2.5 years and was laid off despite there being HUNDREDS of jobs in similar fields I could be moved to. I was laid off because the big boss didn't like me, period. My productivity was well above metrics, this layoff was all about a popularity contest.</t>
  </si>
  <si>
    <t>Salaire fixe un peu plus √©lev√© qu'ailleurs.</t>
  </si>
  <si>
    <t>Pas de primes de participation ni d'int√©ressement depuis 3 ans. Management inexistant, plus int√©ress√© par les r√©sultats que le bien √™tre des collaborateurs ou la r√©elle satisfaction des clients.</t>
  </si>
  <si>
    <t>Everything is amazing everyday all day</t>
  </si>
  <si>
    <t>None at all perfect place</t>
  </si>
  <si>
    <t>Very nice people to work with</t>
  </si>
  <si>
    <t>The code base is too legacy and broken. The general mood is a bit too corporate.</t>
  </si>
  <si>
    <t>Good company culture, good comp and benefits</t>
  </si>
  <si>
    <t>Performance Management system has forced distribution of ratings.  Many Managers not held accountable for coaching and developing team members.</t>
  </si>
  <si>
    <t>People are great,  Excellent benefits.  Learning and growing experience.  Lillian Maliahas was my supervisor and the best of the best.  Great person and extremely intelligent.</t>
  </si>
  <si>
    <t>none that I can think of.</t>
  </si>
  <si>
    <t>Learning opportunities benefits exposure of multiple culture &amp;amp; geographies</t>
  </si>
  <si>
    <t>NA NA NA NA NA</t>
  </si>
  <si>
    <t>Teleperformance is a best platform to work,</t>
  </si>
  <si>
    <t>There is no downsides to work in teleperformance</t>
  </si>
  <si>
    <t>Work life balance is good</t>
  </si>
  <si>
    <t>Salary may be the reason</t>
  </si>
  <si>
    <t>Very diverse. Great benefits. Very good pay scale. 401k matching dollar for dollar.</t>
  </si>
  <si>
    <t>Some people don't know how to be a team player, or realize that they are part of a  team that needs to succeed together.</t>
  </si>
  <si>
    <t>Some of the people there are really nice</t>
  </si>
  <si>
    <t>Management 
Environment 
Expectations
Stress
Lack of empathy for employees mental health</t>
  </si>
  <si>
    <t>Great people to work with and most areas have fun.</t>
  </si>
  <si>
    <t>Workloads not evenly balanced and much duplication</t>
  </si>
  <si>
    <t>Lots of opportunities, company cares about the people and culture, lots of resources so you can always have someone to consult.</t>
  </si>
  <si>
    <t>Lots of restructure so you lose corporate knowledge and intelligence, meaning you start at square one again. In projects, lot's of focus about deadlines and having to meet deadlines no matter what, however lack of taking a structured appproach with proven techniques, sometimes favouring 'whatever it takes' attitude over a measured approach.</t>
  </si>
  <si>
    <t>Benefits are probably the only pro</t>
  </si>
  <si>
    <t>Rotating schedules, no down time, open 24/7/365, low pay for the amount of work</t>
  </si>
  <si>
    <t>The benefit package is great. There's a lot of hardworking and very good at their job people that work. You meet all kinds of people from every circle of life.</t>
  </si>
  <si>
    <t>The bank is turning into a retail store. Its more concern with sale goals instead of  the people that bank there. they give no regards to forcing old accounts into new accounts by changing the qualifications of maintaining the account. The hours of banking are not realistic dues to the fact that processing is closed at 4p.m. and workers have little to no time to balance life and work. Sale goals aren't realistic I'm got against growth but not all the products  don't work for everyone  for an example   an 82 yr old customer who enjoys coming to the bank to do all his/her banking needs and have no clue about the internet will not use online banking  because when u know the customer well enough it makes no sense to pressure him/her into getting it. Also if you don't meet goals for the week prior be prepared for an extra early meeting as to why you haven't and still have to work a full shift following it. Retail and banking is different, your customers don't need so many accounts. Wells Fargo taken out all the joy of going to work with a smile to everyday over worked, stressed and  wondering if you'll have a job.</t>
  </si>
  <si>
    <t>Job security, Career growth, Team involved work</t>
  </si>
  <si>
    <t>Hours, Paid time off, Intense labor</t>
  </si>
  <si>
    <t>Decent atmosphere to be in</t>
  </si>
  <si>
    <t>Money is too low to live</t>
  </si>
  <si>
    <t>Great people, meaningful projects, ability to learn new skills.</t>
  </si>
  <si>
    <t>Very long hours, not much formal training.</t>
  </si>
  <si>
    <t>Some of the most intelligent and creative people I have ever worked with in my career.</t>
  </si>
  <si>
    <t>Some the most lacking emotional intelligence people I have ever experienced. I am very familiar with Agile Environments, but having a boss that is incapable of articulating their goals without loosing their emotional disposition is unfortunately a norm here - even in the late 2000's!</t>
  </si>
  <si>
    <t>Not difficult unless you're getting rushed.
Employee Discount
Nice Co-Workers</t>
  </si>
  <si>
    <t>Low pay
Gets pretty boring at times</t>
  </si>
  <si>
    <t>Great people, who are smart/friendly/helpful
Great flexibility and work-life balance</t>
  </si>
  <si>
    <t>Does not appreciate its staff
Poor renumeration and career progression
Poor management of projects</t>
  </si>
  <si>
    <t>Work/Family friendly schedule, great benefits, great pay, generally good people to work with.</t>
  </si>
  <si>
    <t>OVERWHELMING number of meetings to discuss other meetings about the process by which to proceed with OTHER meetings etc. etc. Very little real "desk-time" to get anything done. Volatile E&amp;P business doesn't add to long-term hope for a job.</t>
  </si>
  <si>
    <t>Great pay, insurance, comfortable environment!</t>
  </si>
  <si>
    <t>long work hours and unorganization</t>
  </si>
  <si>
    <t>Integrity, Training, Inspiring Leaders, Technology , on the job training</t>
  </si>
  <si>
    <t>Many acquisitions and as a consequence a balance of employees number. Different cultures at the same time.
Matrix structure, long decision processes.</t>
  </si>
  <si>
    <t>Absolutely no pros to working unless you like working intense elongated hours with minuscule yearly raises being given FT responsibilities at PT pay.</t>
  </si>
  <si>
    <t>Safety Comes Last
Employees Worked Past Exhaustion 
None OSHA Compliant 
Favoritism Amongst Employees to Management 
Union is Bought out
Insanely Extensive Hours (Mandatory No Notification 24hr in Advance)</t>
  </si>
  <si>
    <t>You feel cool wearing a Tesla logo</t>
  </si>
  <si>
    <t>Working at Tesla was a nightmare; the stress was insurmountable. It was a chaotic, hostile environment. Every quarter they were changing our compensation, or job requirements. A lot of things didn't seem legal as it pertained to how they were changing things. The most incompetent employees were promoted - especially to director. This then had a domino effect on the rest of the employees. Most of the time, no one knew what was going on, and the worst part of it was how the customers were being handled with gross neglect. I'd also like to mention as a female employee, it was very apparent that women were not respected in the workplace, and were not given the same opportunities as their male counterparts. Overall, Tesla seems like a cool company that's trying to change the world, but the reality is it is a giant, chaotic mess. One bad decision after another.</t>
  </si>
  <si>
    <t>No pros presents fake company</t>
  </si>
  <si>
    <t>They will give you a big hike and they can't on board you. Before 2 days of joining they usually told that they can't afford you. Before that they will ask for all the docs resignation acceptance mails bla bla bla. HR department is full of uneducated and fake people</t>
  </si>
  <si>
    <t>The money was good for the area.</t>
  </si>
  <si>
    <t>No matter how hard you work, if you're not one of the "chosen ones" you probably will not get the training needed to advance. To me, it seemed corrupt, far too competitive, and strategically controlled to benefit very few carefully chosen individuals. Not for me. Many others were unhappy but wouldn't dare say so for fear of retaliation, despite the "most ethical company" reputation they have somehow "earned."</t>
  </si>
  <si>
    <t>Good number of clients, hence they ensure no employee to stay on bench for long</t>
  </si>
  <si>
    <t>Shift from 1 project to another becomes tough at times</t>
  </si>
  <si>
    <t>The company offers great benefits and scheduling</t>
  </si>
  <si>
    <t>Even if you are considered a good employee, you could be laid off due to the irresponsible spending of Tesla</t>
  </si>
  <si>
    <t>The art and creative environment.</t>
  </si>
  <si>
    <t>The culture can be toxic. Management plays favorites and if you‚Äôre on the wrong side of those favorites‚Ä¶ good luck. Favoritism has nothing to do with merit. Working harder will not help. They think you should feel so lucky to work there instead of the company feeling lucky to have talented employees. We really learned that everyone is expendable and they don‚Äôt actually care about their employees. I should say that I left on my own. I was not let go.</t>
  </si>
  <si>
    <t>Payed sick time, easy going management</t>
  </si>
  <si>
    <t>Extremely unprofessional workplace, poorly operated. Horrible training, extremely gross working conditions, insanely unsafe working conditions. Does not provide proper tools or equipment.</t>
  </si>
  <si>
    <t>Pay excellent, healthcare and benefits to US standard</t>
  </si>
  <si>
    <t>Culture is disjointed after being built through global acquisition. Limited communication between TMT and organization plus no clearly articulated internal values (only external brand promise of "excellence") means no guiding principles for management across a global organization. Identity politics quite standard, but after 1.5 years of leadership changes and key personnel changes (some of which may not have been for the better), will be interesting to see how this company evolves.</t>
  </si>
  <si>
    <t>Work life balance is decent.</t>
  </si>
  <si>
    <t>Poor executive leadership and lack of consistent direction.</t>
  </si>
  <si>
    <t>Honestly the people. I managed to meet some amazing people (who have now all left!) and we are still friends</t>
  </si>
  <si>
    <t>A normal day in my job at XLN would start with the management screaming at you to get at least 25 card machines working when yesterday the sales team only managed to sell 5. Where they expected us to pluck the other 20 from I don't know (And I have a very good imagination.) We would then work very hard to get 5 or sometimes even magically get up to 7 from last min deals etc. To then have the manager throw their phone across the office, in a tantrum. Managers were also seen to stomp feet, bash computer mouse against their table and order very expensive perfume/jewellery to the office just to go around and show everybody what they bought. I feel I should also mention that on several occasions managers where heard telling members off staff that ''they did not understand'' (that 20 card machines had to be 'made live') because English was not their first language, and they should be ''grateful this country accepted you''. 
Along with this came promises of raises which never did and bogus insentives e.g. ''Sell 5 items and you get to go home early'' (this e-mail would be sent at about 5:30pm). 
We would also be made to feel guilty if we left on time and did not come in early. 
Safe to say that my brief 6 month stint at XLN has given me and my therapist A LOT to get through.</t>
  </si>
  <si>
    <t>Camin Cargo Control has competitive pay.</t>
  </si>
  <si>
    <t>Hostile environment. Unsafe work practices. Violations of regulations and procedures at every level. Falsifying of results and records. A thorough audit by a client will find that the ‚Äúflagship‚Äù lab will give you results on instruments they don‚Äôt possess. They will strong arm you comply with their unethical practices. I got very poor training and most tests everyone would just write down a result and say ‚Äúthat it‚Äôs going to be.‚Äù It wasn‚Äôt until I went to a competitor that I saw how little training I had and how disgustingly unethical Camin Cargo was/is.</t>
  </si>
  <si>
    <t>- Private Equity running media always leads to sudden layoffs. I was one of almost 30 that was culled out of nowhere, a couple months after they shuttered another magazine. They acquired a new magazine on the same day of the massive layoffs. Feels like a game of fiscal hot potato. Take the job, cash the check, and gain the experience, but don't expect security, especially after company gets a massive buy in, and they need to "streamline" to look good to investors.</t>
  </si>
  <si>
    <t>Some of the best people I've ever worked with. One of the best things about working here is that everyone cares about their work and always strives to improve our processes and share learnings with each other. The team is highly collaborative, talented, and is always willing to listen to one another. There is a great sense of teamwork even after moving to remote work.
There is opportunity to grow and explore new roles if you voice your interest. In my experience, management is very supportive and does the best they can to make sure you continue to grow your career.
I've seen many older reviews about bad management and micromanaging. A few years ago I might have agreed, but the investment into management the past couple years has turned it all around. There are some incredible, hard working, and smart managers here who truly care about individuals on their team.
Every company has rough patches and Eventmobi certainly has had some, but what I appreciate here is that if you give feedback, there are always people ready to discuss and work with you to solve the problem.</t>
  </si>
  <si>
    <t>Things move quickly and you need to be able to adapt. It can be good but might not be for everyone.
Difficulties growing with legacy tech. Certainly something that has gotten better during my time here, but it can lead to some barriers and compromises with the product.</t>
  </si>
  <si>
    <t>- Decent but not so great salary package 
- Too many layers of processes which sometime gives you limited freedom but CBA being the top of big 4 banks, needs to have such processes which can safeguard us and customer against damages</t>
  </si>
  <si>
    <t>Competitive salary, good benefits, 50% discount on wireless products &amp; service.</t>
  </si>
  <si>
    <t>Only interested in promoting those under 50. Promotions are not regularly based on merit. Outsourcing or eliminating many jobs for experienced workers. Extremely interested in milennial customers and employees only.</t>
  </si>
  <si>
    <t>1. Lots of resources. Computing resources, educational resources, culinary resources, locational resources, people resources, financial resources, etc. You get paid pretty well to boot, even as a SWE or even an EP intern.
2. Lots of high-quality technical infrastructure that you will gasp at if you've spent enough time developing on standard/enterprise software. 
3. High-quality technical process and an appreciation for best practices.
4. Amazing networking opportunities. Google interns come from and end up all over the place, so being an intern is a great opportunity to meet lots of different people.</t>
  </si>
  <si>
    <t>1. Lack of real respect for individuals. This is a symptom of Google being a large company with incredible scope to pick and choose people, along with having many excellent people. You are treated well at the surface level because you were able to get through the interviews and meet the obligatory standards, but you are not treated as an individual outside of your team's breadth. In addition, while you don't see rank explicitly pulled very often, the company is very top-down in policy and culture. I doubt this is a Google-exclusive issue, and in fact it's very common in large companies across the world. It's certainly easier to ignore at Google than other places and you are pampered in a number of ways. If you want that sort of gritty individual respect from the organization, work at a small company. 
2. Intern-specific: for full-time conversion, interviews can overshadow contributions to individual host teams. Interns are often left with the decision of maximizing their acquisition of gainful skills and their contributions to the company, or passing up on an opportunity for full-time employment at Google. Interview skills in tech are, at higher levels, focused on things that may not be application-specific for the intern's project, even if they are working on something of significant business value. This is backwards: I can count on one hand the number of tech companies I've heard of that still do this.</t>
  </si>
  <si>
    <t>Reasonable work life balance-no expectation of weekends or evening work. Plenty of VP/D's who do very little if thats what you want.</t>
  </si>
  <si>
    <t>I have never worked anywhere where so many Powerpoint slides can result in so few actual decisions.
Systems are unfit for purpose. Obsession with top down planning and 'messaging' to senior management. Focus on 'getting stuff done' so the right message can be given to snr mgmt, with little regard to 'getting it right'.
Prevailing blame culture means middle management spend more time avoiding responsibility than actually adding value.
Bizarre role based promotion process effectively block progression until your boss leaves, and leads to large numbers of AVP's applying internally for VP roles they have no qualifications for</t>
  </si>
  <si>
    <t>Deep pockets; not afraid of using new technologies.</t>
  </si>
  <si>
    <t>Lost the core respect for the "People Element" they used to espouse so nuch. They throw away skilled people like used diapers just to save a few dollars that are then funneled to yet another empty suit VP.</t>
  </si>
  <si>
    <t>- Pay increase minimal/non existent 
- Promotions usually lead to termination/being forced out
- Benefits are not great - no RRSP/Pension/Vision/etc. Some people have better benefits than others.
- Too many cooks in the kitchen - 3 owners and like 10 managers/VPs/leads to manage 25 product creators 
- Process is way too complicated for scale and type of business. Too many ongoing projects and no organization to help manage - insane workload, even for the fashion industry.
- Toxic environment, no transparency, gossiping starts from management and trickles down. Teams throw each other under the bus. Some sales people scream/swear/slam doors/send rude emails. One woman micromanages and harasses junior staff like crazy and owners are aware but do not take action.
- Office stayed open for most of pandemic- WFH meant 50% salary cut
- Not an equal opportunity employer. Favouritism and opinions based on appearance, ethnicity, religious groups etc. Has treated some pregnant women very unfairly.</t>
  </si>
  <si>
    <t>Nice people, low pressure. Great pension and work life balance.</t>
  </si>
  <si>
    <t>Too heavy with non-technical people
Some very low calibre people who know how to pass civil service interviews rather than know how to do their job</t>
  </si>
  <si>
    <t>Great work life balance. Flexible work arrangements and great way to advance your career.</t>
  </si>
  <si>
    <t>Lack of direction from Senior leadership.</t>
  </si>
  <si>
    <t>They are a well established clinic system, so your job will always be secure</t>
  </si>
  <si>
    <t>They don‚Äôt have a lot of opportunities for growth</t>
  </si>
  <si>
    <t>Caf√© and Canteen social spaces, subsidised food and drink
Nice teammates and big main office with lots of natural light
Campus convenience</t>
  </si>
  <si>
    <t>Projects working with unethical clients and countries with poor human rights records for company and partner profits
Variety of projects can feel repetitive
Partners make decisions and show little care for less senior staff
Little remote working flexibility</t>
  </si>
  <si>
    <t>Higher pay than any other district in the state (besides perhaps Park City)
Low expectations
Teacher's union fights for you</t>
  </si>
  <si>
    <t>Will most likely teach in some of the roughest neighborhoods
BAD behavior (fighting, drugs, etc)
Gang violence is high
Too many outside of school hours required</t>
  </si>
  <si>
    <t>Good time environment and support</t>
  </si>
  <si>
    <t>Not great money, can't progress if part time.</t>
  </si>
  <si>
    <t>Employees work here because they care and want to work hard. There‚Äôs a reason agrace has a solid reputation, and it‚Äôs because of the hundreds of patient-facing employees who give so much of themselves.</t>
  </si>
  <si>
    <t>Patient-facing roles have little to no work/life-balance, and those who attempt to establish work/life boundaries are generally punished and/or regarded as not being a team player. There are many performative aspects of this company in attempt to pander to the masses around diversity and inclusivity, but this company is grossly out of touch with what that means.</t>
  </si>
  <si>
    <t>Other than the laid back office environment. Not many pros come to mind if you don't already have a book of business when hired. You're competing daily against other office members for the same business accounts.</t>
  </si>
  <si>
    <t>cold calls up to 200 a day, micromanaged by multiple upper management employees. Upper management does nothing to help gain business except for tell you to " hit the phones". Over all was lied to from the start of their 1 week training program.</t>
  </si>
  <si>
    <t>The county is overall a good and enjoyable place to work; my rating reflects what it's like working in IT. 
One positive note is there have been some strides in user education around security.</t>
  </si>
  <si>
    <t>So where to begin... the IT department is plagued by innumerable issues that are mostly self-inflicted.
Number one with a bullet is management, a team which has undergone a complete changeout over the last few years. One of the last competent managers, who was a calm voice of reason, retired early out of frustration with the new leadership.
There's been a tonal shift in department culture. Morale is low and the department's panicky management style encourages finger pointing and contention among the staff. There are unclear standards around change management, and how to work with other teams within the department that never get addressed. Everyone is on edge, and there‚Äôs repeat offenders who will belittle and disparage other staff in meetings.
They actually had a doctor, a business psychologist, come in a couple years ago to interview the staff in small groups. Feedback from the staff was almost unanimous, but it seemed like the doctor‚Äôs report and suggestions were thrown out since it was critical of the director and deputy director.
The department is stuck in gridlock. There are a lot of half-baked processes, and then new processes and new committees to figure out why the processes aren‚Äôt working. 
Have a question? Your direct manager will either be unavailable or won‚Äôt know how to help you because they‚Äôre unsure of the direction the director wants them to take, or they‚Äôll point you to another manager who‚Äôs just as unconfident.
County staff have become unhappy with IT, and aren‚Äôt shy about sharing that with you when you work with them. I can‚Äôt blame them because it‚Äôs hard to get help or work just isn‚Äôt being done.
There‚Äôs a process for what projects you‚Äôre supposed to work on, but management will quickly shoehorn a different #1 priority project/issue onto your plate, usually weekly, or anytime there‚Äôs a fire caused by their poor planning or some highly visible problem that makes the department look bad. 
Your head will be spinning trying to track your time in tickets, a time log, your outlook calendar, and your time card (while making sure it‚Äôs properly coded to the right work order).</t>
  </si>
  <si>
    <t>Nothing to share as such</t>
  </si>
  <si>
    <t>everything, Micromanagement, bad WLB, no shift allowance, No leave encashment, no smooth existing process, Variable payment always delay, No standard process for employees and HR, employee policy changes overnight as per company convenience, Only active on Linkedin</t>
  </si>
  <si>
    <t>Great people that deserved better</t>
  </si>
  <si>
    <t>What kind of Real Estate company shuts its doors in the middle of the greatest Real Estate market boom of all time? One that is led by incompetent leaders.  REX failed because of the incompetence and arrogance of its CEO . He listened to the advice of people who knew nothing about Real Estate. Those people single handedly began the destruction of REX with their ill informed ideas which included the disastrous concept of whole REX. The CEO didn't listen to the right people. He didn't listen to the agents that worked in the field. He often said REX is a tech company not a Real Estate company. A tech company whose website was a joke and whose app never worked properly. He failed this company but most importantly failed the good men and woman who worked for REX. On Friday REX laid off the majority of the remaining staff with NO severance pay. A slap in the face with no disregard to their livelihoods. FAIL! CEO had the nerve to dangle a carrot of a possible IPO. Lies</t>
  </si>
  <si>
    <t>There are no pros here</t>
  </si>
  <si>
    <t>Very very negative work environment</t>
  </si>
  <si>
    <t>Pay is good. 
Some people seem to care.
Benefits are ok.</t>
  </si>
  <si>
    <t>Hard to pinpoint how bad things are with dysfunction across every level. Ineptitude just thrives at an already sinking company. In the absence of technology, processes and any form of standards, they solely rely on heroics. Unless you are a banner level client, you'll get little attention or support. 
A lack of upward mobility (unless you are skilled at pandering to c-suite), preferential treatment and unheralded promotions at the whims of management. Unfathomable amounts of broken promises and platform flaws with the only explanation, if you can call it that, from management is a cop out like "things are tough" or some other tired clich√©. 
Management is either so invested in creating and selling a fa√ßade that things aren't bad, broken, failing (we're a happy family they say!) that they actually believe it or more alarming don't see the reality. Tech is broken or unstable, competitors are seizing up market share and new logos, turnover across departments is crippling and morale just sinks lower. Yet upper management will force a smile and say "things are fine" with better fortunes just around the corner. How long you believe the latter part is what you'll wrestle with before seeing the only logical choice which is to exit a company decaying from the inside.</t>
  </si>
  <si>
    <t>GREAT group of employees (which is honestly the main reason a lot of people stay). Good Benefits, Great Prodeal access,</t>
  </si>
  <si>
    <t>The management seems really cool and understanding at first but they have their favorites and it shows, if you're not one of the chosen ones, you'll know it too. they say Feedback is always welcome and its a "gift" and "not personal" however, they will use it against you when it suits them.</t>
  </si>
  <si>
    <t>You get a job easily here</t>
  </si>
  <si>
    <t>1. They micro manage like anything. You are questioned if you are idle from CRM for even a single minute
2. They deduct half day salary if metrics are not met on daily basis. The manager doesn't even approve the attendance if metrics are not met and you will be marked absent
3. No consideration for you as a resource. They think you are robots who can work 24X7. All they care about is your revenue
4. Your job is safe till the day you are getting revenue. Once that stops, you are fired. I have seen top performers of one quarter getting fired in the next one as their revenue dried up. In short, there is no consideration for your contributions in the past. All they care for is how much revenue you are getting today
5. Even the CEO and other founders only talk about revenue figures in the Org Wide Townhalls
6. You may have to work all 7 days of the week at times and if you luckily get 1 day off, you will be pressurized to get more revenue on DMs on your day off
7. The HR in the Org is just there to hire and fire people. They don't believe in building a good culture</t>
  </si>
  <si>
    <t>A great company to work for!</t>
  </si>
  <si>
    <t>I have no thoughts on cons to share!</t>
  </si>
  <si>
    <t>- CEO is obnoxious and loves to hear the sound of her own voice
- Most toxic work environment I have ever experienced
- Laid off 30% of workforce in June and are now hiring again (lol)</t>
  </si>
  <si>
    <t>Roll out the red carpet during Trainning, company trips, and party 
Generally the staff in office see very nice.</t>
  </si>
  <si>
    <t>Many undelivered promises from top-down to employees and customers. Sometimes it seems like a blatant lie. 
Inconsistent I with commission py and ability to track. 
DANNY AND JACK ARE NARCISSISTIC LIARS. 
Company parties CEO has ridiculous requests and almost always crosses the line. 
Some staff doesn't understand personal space or the idea of what professionalism is.
Lots if sexist and racist comments thrown around seriously surprise how they get away with it.</t>
  </si>
  <si>
    <t>The people I worked with were great</t>
  </si>
  <si>
    <t>The people I worked for were bullies and awful</t>
  </si>
  <si>
    <t>The employees are very nice, but very afraid.</t>
  </si>
  <si>
    <t>High turnover, condescending owner who views employees in a very poor light. I personally witnessed an employee being badgered until tears were produced. The owner took pride in breaking this individual's spirit, so very sad. Horrible management; no organization; just not a good place to work.</t>
  </si>
  <si>
    <t>The opportunity for advancement in the company</t>
  </si>
  <si>
    <t>Upper management chooses those who get promoted based on who they like not experience or achievements; everything is extremely disorganized upper management has to much power which goes unchecked allowing employees to be treated unfairly</t>
  </si>
  <si>
    <t>I worked for Fahlgren Mortine for about 1.5 years and it was an exceptional experience. There are many talented people that I was able to work alongside and learn from. Management is open to receiving feedback, supportive and creative. The teams approach new projects with fresh ideas, making it exciting to be involved and in turn, being proud to be a part of the team. There are many opportunities to get to know other team members (across a large company) because they are sure to do monthly activities - and did a great job boosting company morale even during a pandemic!</t>
  </si>
  <si>
    <t>The structure of the company is very different. I think that causes some confusion in the different roles and departments.</t>
  </si>
  <si>
    <t>connecting with new people, discount, great health insurance</t>
  </si>
  <si>
    <t>It took my nearly my entire time with the company (+3 years) to realize that the poor, unfair, and unethical treatment of people, myself included, is part of what led to my incredibly high stress levels that then led to an autoimmune diagnosis and the obvious need for the health insurance they provided - that we do pay for btw! It is not paid for by the company. 
It makes better sense to put my mental health first which means leave the company and then theoretically there is less of a desperate need and want for great health insurance. They thrive on knowing that people mainly chose to stay after all the injustice just for the health insurance. They thrive on keeping people unwell. Sounds all too familiar (like how our "health care" industry is run in this country).
Scott Nash gives power away to the most mediocre people and they take the power to their head and absolutely hold it over other people. Scott Nash cares about profit over people and planet. His greed of money and power is evident as the company continues to grow while the staffing becomes less and less. I have met few really great people here and they either quit or get fired unfairly - or are threatened off the clock so nothing can be done about it with HR. 
"If you can't beat them, join them" only works if you have numbers because there is power in numbers. Do not think for a single second that you alone will change ANYTHING about how this place is run from the top down. To begin, the company needs a new owner and nearly all of management (lower and upper) needs to be replaced. That won't happen.
Management is literally the WORST I've ever experienced and this comes from someone who has worked in and with the public for greater than 12 years in a variety of retail spaces. The mediocrity of people they put in management will leave you laughing - because it is very much a joke. Managers who bully, harass, or are totally absent minded. Brainless. Heartless. Lacking compassion. Self serving. Ego addicts. Drug and sex addicts - while on the clock!!! Managers who work in pajamas and rags for clothes, people who downright smell fowl and need to shower - what a way to set an example of self respect but yet they expect us to respect them.
Management does not live up to, nor do they set good examples for, the company values. All that while being encouraged to speak your truth and you dare risk your job if you do! Only expect HR to protect your job IF it is convenient for them to do so. Otherwise, expect to get fired.
The company knowingly employees thieves and sexual predators, harassers and offenders, and less and less cares about the employees at the bottom level which is evident given the lack of security cameras, because the owner Scott does not believe in using them - so basically you work at your own risk of being thieved from or worse, sexually, emotionally, and psychologically abused. So much abuse of power. So much abuse against humanity. It's literally the same stuff you see in the media but on a smaller scale and at a local level.
NOT a "green" job for you if you truly care about the environment, will only make you mad and stress you out to be so exposed to people who actually do not care, workers and customers both. Didn't even mention the amount of financial waste that happens here, mostly due to pure human error, yet you are told there is no money for wage increases (but yet they keep opening new stores with little to no team to even recruit). 
It doesn't matter if you have a family to support or if you are single-handedly keeping plastic bags from becoming trash by turning them into new, repurposed goods. IT'S NOT WORTH SACRIFICING YOUR MENTAL HEALTH. IF YOU TRULY CARE ABOUT THE ENVIRONMENT, WORK FOR A DIFFERENT COMPANY. It's easier to know from the start you are working with people who openly don't care versus working with people who pretend to when its convenient for them. 
MOM's is the most dishonest place I have ever and will ever be employed.</t>
  </si>
  <si>
    <t>Nice co-workers within my dev team, others at my level were happy to take time to acclimate me to tools and software, sharing of knowledge.</t>
  </si>
  <si>
    <t>Everything else. Onboarding was an onslaught, management was pushing hard for releases of many features at once vs. focusing more than one dev on a feature at a time. As a Junior I was told to ask lots of questions and lean in to any process or learning, which we all did, and that would be enough. Kept meeting with managers to get feedback but basically got "do better". Eventually my manager stepped down, so the team was disorganized at the end.
I was let go in the first wave of cuts they did, the explanation was that I did not have enough technical knowledge to work there. But I had asked for help and direction for over 3 months, and passed their technical exam during interviews no problem.
Underpaid for the role per average rates, benefit package was below average, no long term benefits (RRSP matching, etc.), instead there is a stock option plan that you receive over a 4 year period at a time.</t>
  </si>
  <si>
    <t>None that I can think of, meaningless work for a bunch of money hungry people</t>
  </si>
  <si>
    <t>I would avoid work for this company, the culture is so poisonous.</t>
  </si>
  <si>
    <t>High Salary, Startup experience and supporting self learning</t>
  </si>
  <si>
    <t>Time scheduling, work hierarchies management</t>
  </si>
  <si>
    <t>Members of the team are great</t>
  </si>
  <si>
    <t>CEO is a nightmare- paranoid of trade secrets being shared and that people aren't working hard enough...even though she herself never comes in before 11. The environment is beyond toxic, leaving felt like I escaped an abusive relationship. CEO overpays because that's the only way employees stay. There is no process or rationale to decisions, and therefore, no accountability. Favoritism is real among employees, but changes depending on the CEO's mood. Run, don't walk away from working here.</t>
  </si>
  <si>
    <t>Office premises is nice both SDB1 and 2 .
canteen is good ,snacks are better then meal.</t>
  </si>
  <si>
    <t>I was working with birlasoft for 2 years as my bond was for 2 years, UNFORTUNATELY!!
.i joined as fresher done my Genesis Training for 6 month. As fresher i have no idea what project and what technology i will get and i was excited that finally i have chance to get my hand dirty in coding.but they dont have any good project infact any development projects.i was assign to a maintenance project with shift with non technical work, Manager was stupid and dont know how to talk professionally.
i talk to HR but we all know how useful they are.
i tried to talk with lots of Senior guys but no one listening.
my notice period was 3 month , when i talk to HR that can i serve my notice period and bond. the denied that.
then eventually i know that i can serve notice and bond together.So Kudos to HR team.
finally i left the company without any job,
in the covid situation and luckily by god grace i got a job much much better then Birlasoft.
and my friends are still in that ticket allocating and monitoring work.
Please dont delete or remove this. 
let people know how brilliant you guys are.</t>
  </si>
  <si>
    <t>cant find anything positive to say</t>
  </si>
  <si>
    <t>favoritism is rampant sexual harassment is rampant bonuses never followed through. As a former employee we were told we would receive a bonus of $500 for staying until the 1st of september. I was let go on the 5th of September and was told i did not receive the bonus because i was not employed on the date of payout. Contacted HR many times left multiple voicemails and no calls were ever returned.</t>
  </si>
  <si>
    <t>Industry Leader, Build Long-Term Relationships with Dealers and Customer, Global Career Opportunities, Developmental Opportunities</t>
  </si>
  <si>
    <t>Very Conservative Culture, Creativity and Risk Taking are Not Valued</t>
  </si>
  <si>
    <t>Good experience for fast-paced work and a great job for young teens to develop skills.</t>
  </si>
  <si>
    <t>Managers and customers can get cranky when not satisfied.</t>
  </si>
  <si>
    <t>Great office activities to build culture 
Good coworkers 
CPEs helpful</t>
  </si>
  <si>
    <t>Poor management 
Too many people working with 7+ managers</t>
  </si>
  <si>
    <t>40% discount, 25% friends and family vouchers, office is nice.</t>
  </si>
  <si>
    <t>Toxic and bullying culture, very corporate. Micromanaging, other members of staff will try to belittle you or make you feel like crap. Cliquey vibe. High staff turn over, makes sense now‚Ä¶</t>
  </si>
  <si>
    <t>I don't know if any of this will change after the Intuit acquisition but:
Pay is good.
Rank-and-file people are perhaps a bit more pleasant than the norm for the industry/company size.
Work/life balance is fine.</t>
  </si>
  <si>
    <t>Engineers generally have a lower status at Mailchimp than at other tech companies, I think by design. One consequence for engineers is that their advancement depends more than is typical on their ability to please people without much insight into their jobs. Also, a lot of current technical leaders might have been great at bootstrapping a small company, but I don‚Äôt think they‚Äôre suited to technical leadership at a company of Mailchimp‚Äôs current size.
Humility is cited as a core company value, but this isn't honored in practice at all.</t>
  </si>
  <si>
    <t>The environment of the office is good</t>
  </si>
  <si>
    <t>Always OT working, low salary pay</t>
  </si>
  <si>
    <t>Overall, responsive and good relationship building.
In particular, individual management personnel personable and caring.
Professional.
Room for growth.</t>
  </si>
  <si>
    <t>Didn't always follow through with commitments.
Errors in PTO.</t>
  </si>
  <si>
    <t>Great people, overall rewarding work, good pay and benefits.</t>
  </si>
  <si>
    <t>Poor employee recognition. Senior leadership picks favorite up and coming managers and discards the others, while looking for ways they can terminate them or get them to quit; archaic computer/software systems that don't talk to one another; understaffed in the IT area so improvements are years out; staff are blamed for errors they can't control; performance reviews are a joke - mine never had any constructive information.</t>
  </si>
  <si>
    <t>Generally the people. Decent salaries. Never a dull moment</t>
  </si>
  <si>
    <t>Shift in culture appeared far too contrived rather than organic/true reflection.</t>
  </si>
  <si>
    <t>Paychecks clear, Exec Team will buy the drinks after work. Courtyard crew</t>
  </si>
  <si>
    <t>CEO comes up short. people of his stature are in short supply</t>
  </si>
  <si>
    <t>Volunteers were wonderful, the mission of serving others is meaningful</t>
  </si>
  <si>
    <t>Poor leadership to the very top, misuse of funds, inability to actually care for people, high turnover</t>
  </si>
  <si>
    <t>Nothing, they will make you work more than 10 hrs and give you salary less than half of the promised stipend.</t>
  </si>
  <si>
    <t>Very unprofessional, HR is of no use over there, so think wisely, don't waste your time in this company.</t>
  </si>
  <si>
    <t>Really great coworkers and team leads
There‚Äôs a lot of fun company events and contests.</t>
  </si>
  <si>
    <t>I ‚Äôll start by saying the biggest issue at JFQ is the training department. It‚Äôs no secret that most of the trainers have little to no mortgage experience or experience training people in general. Senior processing training is basically just one week, they focus completely on streamlines but even that training is minimal. Once you‚Äôre ‚Äúout on the floor‚Äù you‚Äôre straight up told not to ask questions and to Google before approaching a lead. Eventually they start assigning you conventional and full doc loans without warning when you haven‚Äôt been trained on them at all - leadership expects you to work them without making any mistakes. It seems like there‚Äôs a big disconnect on what is covered during senior training and what isn‚Äôt, I could tell senior processing leads would get frustrated with the lack of proper training new seniors were getting.
This leads to the second issue, job security. Turnover is HIGH - either people leave unhappy or they‚Äôre fired without reason. The last few months there have been mass firings, entire departments let go yet they claim they‚Äôre not having money issues? 
Pay is horrible and way below the industry average. Save yourself the trouble and look elsewhere.</t>
  </si>
  <si>
    <t>Remote
Small - you can play around the accounts with your own theory/method 
Leaders try to care about the employees
Not required to work weekends</t>
  </si>
  <si>
    <t>Intolerance on employees‚Äô mistakes
Not enough benefits
Not enough career opportunities</t>
  </si>
  <si>
    <t>There are absolutely no pros to working here.</t>
  </si>
  <si>
    <t>The upper management family - a bunch of crazies - write false positive reviews on here. Mark my words and pay attention to the negative reviews only - because they are truthful. 
This company is a dirty pyramid scheme. You are forced to attend insane cult conferences twice a year where you watch the CEO beat off to the sound of his own psychobabble for HOURS ON END. They have zero respect for their employees and the turnover rate is insanely high.
You will be yelled and and diminished by upper management constantly. They have no taste and this company will fail within the next 2 years.</t>
  </si>
  <si>
    <t>The Fed has so many programs available to employees for professional development. On the IT side, there are programs to become ITIL certified, among many others. Even new, helpdesk employees have the option to participate in these. 
Further, they do a good job of including all employees, even new and/or lesser-experienced employees on all sorts of meetings and communications. It's a great way to learn, but also a great way to see you might want to specialize in the future.
The benefits were great and stated Day 1. Health insurance, retirement (both a 401k and a pension), vacation (I think 18 days min to start off), etc.</t>
  </si>
  <si>
    <t>In the Helpdesk, it's very regimented. Obviously, this is to ensure there's enough coverage on the Helpdesk. But it seems a bit much at times. Breaks and lunch change day to day. 
They can also change your overall hours if needed. The Helpdesk operates 24/7. I started 7:30a-4:30a, but then they were going to move me to 11:00a-7:00p after my main training was completed. That's not what I signed up for and agreed to.
At the time, the KC Fed had a business casual dress code. This was a bit annoying, especially for helpdesk IT staff who don't go anywhere. Part of our team was based out of the Minneapolis Fed and they were able to dress casual since their bank president allowed it. It seemed silly to require business casual or more for all employees since the KC Fed is not a typical bank. There are no customers or clients coming in each day.</t>
  </si>
  <si>
    <t>Wellness plans for your pets, ability to make your own schedule.</t>
  </si>
  <si>
    <t>You can't just manage - it is required to work in a support role whether that be a receptionist, assistant or tech. If you are an LVT you can and will end up working in all support roles other than the veterinarian. It takes away the focus of managing. Your hours as a manager count toward the maximum allowed hours for the entire staff. In order to remain profitable you have to burn out your staff with the number of patients you have to see in one day.</t>
  </si>
  <si>
    <t>- Relaxed atmosphere. - Decent benefits. - Remote work. - Fun company doing cool things within the camping space. - $500 annual camping credit if you book a stay at a participating campground. - Occasional meetups downtown (in major hubs)</t>
  </si>
  <si>
    <t>- Pay might seem high but they don't offer bonuses and compensation increases are less than the rate of inflation. - Management is young and some managers really have no clue what they are doing and some are too sensitive for feedback or coaching. - Operationally still have a lot of things...a lot, to learn and figure out. - If you need good structure and supportive leadership, you could be very disappointed.</t>
  </si>
  <si>
    <t>Ingram has some of the best employees - people who make it worth giving your all, because you know they're doing the same and want to eliminate roadblocks however you can within your scope of influence.</t>
  </si>
  <si>
    <t>I saw insight and recommendations from highly-skilled employees looking to grow the business and increase internal efficiencies bypassed for politics and empowerment of the wrong people. Competition between business units and zero interference from VPs of toxic behavior, such as exclusion and elitism, defined the workplace culture - while members with relevant expertise were pushed to the side. Several employees execute tasks covered by multiple roles at other companies and aren't paid market value to do so. Employees also aren't allowed to move to other roles within the company that may better suit them if leadership prefers to keep them where they are.</t>
  </si>
  <si>
    <t>Will give maximum possible as salary. Once you are assigned a company you are safe</t>
  </si>
  <si>
    <t>If you are not in any client's project you will be fired. Will tell about inhouse projects when recruting</t>
  </si>
  <si>
    <t>Its extremely fun to work here and its cupcake sales. Stalwart Concepts works with a good brand and provides an fun and friendly environment. I had a good time there just had to move out of state. They helped me transfer to a similar office down in a Miami but if you are in Tampa this is the place to be!!!</t>
  </si>
  <si>
    <t>The downside to working at Stalwart Concepts or any job that is performance based is you find out quick how much you are willing to hard hard towards a goal. I found myself getting upset  with my results but at the end I knew that I was not giving it my all.  If you overcome yourself and find a rhythm within the company you will be able to take advantage of the opportunity to advance.</t>
  </si>
  <si>
    <t>If you are interested in sales, job for you</t>
  </si>
  <si>
    <t>Long hours, boring meetings, lots of travel</t>
  </si>
  <si>
    <t>There are none. Horrible experience.</t>
  </si>
  <si>
    <t>No concessions for people who want to attend school.</t>
  </si>
  <si>
    <t>Wonderful and friendly team members, some great talent.</t>
  </si>
  <si>
    <t>Worst leadership ever. Micromanagement at its best. Leadership is clueless and have zero business sense. 
Work place bullying is common from senior leadership. I have seen colleagues crying and I cried myself coz of bad treatment. 
All departments work crazy hours. Most of times its not even client demanding unrealistic deadlines but management trying to please client when there is no need. Probably companies greed to make more money by not paying for all the extra hours employees put in. Situation is so bad that, couple of times employee(s) have had mental breakdown and  had to take sick off to recover. Far worse conditions for US team.  Common for US team to work past midnight.
By adding a line in contract that says " your salary covers for all time required to complete your job" company thinks they can make people work like slaves. 
Company introduced unlimited leave policy to fool around and lure talent. The ground reality is people do not have time to take even standard  4 weeks of annual leave. And this has nothing to do with Covid times. Company had to force employee to take long weekends to get things right in the books as many had as many as 3 months of accumulated outstanding A/L . So if you are tempted with unlimited leave policy its just a hoax. No one have ever managed to enjoy this perk.
People move as soon as they see an opportunity. Do not believe me, please check Linkedin Page for yourself how many team members jumped boat in last 2-2.5 years. 
If you are seeking a role at TimeZoneOne do your research and think twice before applying or accepting the offer. Stay away, unless you desperately need a job, and this is your last and only option.</t>
  </si>
  <si>
    <t>very fun atmosphere and most people nice.</t>
  </si>
  <si>
    <t>they let me go after (barely) training me fir a month.</t>
  </si>
  <si>
    <t>amazing associates, great discounts to use on everything even the cafe, great work environment, consistently staying on top of trends, consistent long-term employment.</t>
  </si>
  <si>
    <t>Severe lack of pay (and pay raises, even with experience), benefits could be better, the way the company handles covid closures was messy which doesnt look good. I.e- short term hires were fired and everyone full time was expected to use vacation without additional pay after.</t>
  </si>
  <si>
    <t>Paycheck so you don‚Äôt starve</t>
  </si>
  <si>
    <t>Terrible and verbally abusive managers.</t>
  </si>
  <si>
    <t>There are few pros to this place.</t>
  </si>
  <si>
    <t>- Poor leadership
- Hostile Working Environment
- Insufficient personnel for training
- Exploitation of temporary workers
- Lack of HR presence
I wasn't there long, but I was gaslit, slandered, and otherwise abused throughout the day-nearly every day I was there. My coworkers would spend a couple hours throughout the day just gossiping about people in and out of the office including me, our supervisor, people in other departments, etc. all within earshot. The supervisor wasn't any better as every other word that came out of his mouth was sarcastic; severely lacking critical communication skills. I ended up having to work closely with a sociopathic teenager that he entrusted with my training and ended up being taught the exact opposite details of my duties- which management refuted when I mentioned it. I'm sure this was all for the sake of ensuring job security for her and others in the office that also played their hand in manipulating the situation. If you end up working here, good luck. You're swimming upstream.</t>
  </si>
  <si>
    <t>The travel aspect was nice for the immediate short term.</t>
  </si>
  <si>
    <t>Pay is low and raises are nonexistent, you will work about 60+ hours per week on salary so no OT, the employees have cliques and are not very friendly or welcoming.</t>
  </si>
  <si>
    <t>None - unless you like working 80+ hours in the summer and less then 20 in the winter</t>
  </si>
  <si>
    <t>Breaks the law all the time when it comes to pesticide application.</t>
  </si>
  <si>
    <t>Amazing LOS system.  Great resource on the company internet.</t>
  </si>
  <si>
    <t>You can work your loans because this place is a call center.</t>
  </si>
  <si>
    <t>Rooftop terrace events, CEO made nice gestures on holidays to wheel around a cart full of pies and champange</t>
  </si>
  <si>
    <t>Strange company culture, individual person is undervalued, leadership is toxic and out of touch with reality</t>
  </si>
  <si>
    <t>I was thankful for them accepting me for the position because at that time I was desperately in need of a job.</t>
  </si>
  <si>
    <t>Everything being said to potential recruits are very different to what they'd actually get. The company is full of secrets and they don't show transparency to anyone. It takes long for them to release claims and benefits to the employees, and I'm not recommending anyone to apply here.</t>
  </si>
  <si>
    <t>You get the freedom to work with latest technologies.</t>
  </si>
  <si>
    <t>Immature manager, does not care about employee, only focused with showing off to upper management.</t>
  </si>
  <si>
    <t>Benef√≠cios, plano de sa√∫de e dress code</t>
  </si>
  <si>
    <t>Sobrecarga de trabalho, sal√°rio baixo, lideran√ßa totalmente despreparada desde a diretoria at√© gestor imediato.</t>
  </si>
  <si>
    <t>Nice teams but bade management and people lacking experience.</t>
  </si>
  <si>
    <t>Confused management, lacking strategy, promise "Great culture" but it's a chop shop and they hide things from staff and clients.</t>
  </si>
  <si>
    <t>Great pay compared to other retailers of the same kind</t>
  </si>
  <si>
    <t>Too rigid corporate structures that did not really help people take initiatives</t>
  </si>
  <si>
    <t>Weekly pay, good commissions. Get to meet a lot of new people everyday. ADT has great home security systems and actually get to make an impact in someone's life.</t>
  </si>
  <si>
    <t>Door to door sales. Takes a certain type of person to excel beyond just making a few sales with their system.</t>
  </si>
  <si>
    <t>cant think of 1 thing</t>
  </si>
  <si>
    <t>Talked a great show but never backed it up</t>
  </si>
  <si>
    <t>Not great at all yeah</t>
  </si>
  <si>
    <t>Will overwork you if you let them</t>
  </si>
  <si>
    <t>The mentality is to do no work and receive a substantial pay check in return. Senior management spend all their time in "meetings" to even notice.
They will also applaud you for "working hard"... If you want an easy life, Muscle Food is for you!</t>
  </si>
  <si>
    <t>The senior management team lack vision and experience with food. Unless they replace the team they will always be a bargain basement for sub-standard food</t>
  </si>
  <si>
    <t>Team was really good
Good location</t>
  </si>
  <si>
    <t>Senior management team doesn‚Äôt listen to employees‚Ä¶they do what they want and what they think is right‚Ä¶
They are rude and dis respectful towards staff 
and treat them like crap</t>
  </si>
  <si>
    <t>-They hired me with no experience.
-This company gave me exposure to cybersecurity. I wouldn't have the job I have now if I didn't start here.
-Only company that was fun. Most of the SOC guys and developers arrange breaks to play video games or shoot pool.</t>
  </si>
  <si>
    <t>-Atrocious pay. Every coworker I knew had roommates, including my first boss who was there for 4 years. Compared to what I'm paid now, it's downright pathetic. Starting out, you make the same hourly pay, or slightly more, than an In-N-Out employee.
-Novacoast might call themselves "tight-knit", but it's really just nepotism. When I started there, the majority of people in my department had some type of friendship/relationship with the manager before they were hired.
-If you're not into Reddit-type humor or gaming, you'll feel out of place. Most of the employees are students or recent graduates, because the SOCs are purposely built in college towns so they can farm cheap, naive student labor. 
-Huge employee turnover. I noticed two types: 
a) my first manager quit and all his minions followed
b) Guys who worked there for a month or two and found out it sucks, either because the rest of the guys on his shift don't pull their weight or because they got stuck on night shift where they're the only employee present. Honestly, I can't blame those guys. I worked in the SOC and we would just keep getting new customers piled on us. A very dangerous formula for an undermanned, underpaid staff that needs to be staffed 24/7. But there is always a fresh stream of students looking to break into cyber, and Novacoast knows that, so it's all good in their eyes.
I stayed for 2 years and felt like that was enough. I've scanned all the guys from my department who are in my LinkedIn, and they've all left Novacoast. There is much better money to be had elsewhere. If you land a position in the Kansas or Michigan locations, it might not be so bad because of the cost-of-living.</t>
  </si>
  <si>
    <t>Working around animals is always a joy. Decent pay</t>
  </si>
  <si>
    <t>Job description was not accurate. Thrown onto a register without training. Once I had quit, I was sent my w-2 but not any of my checks. They kept my last paycheck and claimed they didn‚Äôt have it. Had to contact HR to get a reprint.</t>
  </si>
  <si>
    <t>good salary, providing a good training program for newbies to gaming</t>
  </si>
  <si>
    <t>stoke office is good, but don't come to the Gibraltar office, the management team is a joke, they asked you not to talk to say hello or goodbye to your workmates in case you[ interrupt ]them, they asked you why you been to the toilet too long / too often, they monitoring your internal chat history with your workmates, no empathy to employees even if they are ill. It was a nightmare for employees.</t>
  </si>
  <si>
    <t>Fast processing of job application if you need a job quickly, it is because there are lots of resignations that caused vacancies and a lot of people don't want to work here.</t>
  </si>
  <si>
    <t>Poor leadership of top management. Worst of Chinese and Indian cultures combined together with corrupt government style politics.. recipe for toxic workplace culture. The culture of NCS is worst than that of a third world country.</t>
  </si>
  <si>
    <t>Get to meet new people, visit new places and live in a new city for the summer</t>
  </si>
  <si>
    <t>Very strict rules, Poor management and unorganized. Unprofessional management too.</t>
  </si>
  <si>
    <t>Not much here except for some decent individuals that truly know how to do their job.</t>
  </si>
  <si>
    <t>Very limited opportunity to get promoted. Very selective and buddy to buddy. Senior engineers do not know how to bring up junior engineers.</t>
  </si>
  <si>
    <t>I'm a little confused about why the marketing team has many great creative minds yet fails to get the recognition they deserve in these reviews. When a skill was missing that wasn't yet in the quiver, WPG quickly recognized and made smart hires to address those needs. 
The most considerable pro to my tenure on the marketing team would be that Jennifer and her team hire professionals and quickly trust their decisions as subject matter experts in the digital space. I can speak to being challenged to think more significantly, leverage instruments to exceed expectations, and the inspiration to bring meaningful solutions to problems we identified. 
During my time with the WPG Brands team, we shifted the mindset from acting as a thermometer and understanding when tension was elevating into a thermostat which allowed for fluid adjustment to act calm when faced with difficulty. This shift was made possible with the leadership of Kimberly. She served as a conductor that turned a series of loud noises into a steady tempo through the shuttering of both Shelby's and Tangible Collective brands.</t>
  </si>
  <si>
    <t>No company is perfect, which is why this earned a 4-star review. My most significant drawback is that WPG did not set itself up for success within the digital landscape. As I signed off my computer for my next adventure, a distant digital light was at the end of the tunnel, and I am confident it will only grow in the coming years. Unfortunately, WPG couldn't cash in on years of website data to better understand the content driving the communities in the town centers that fund commerce. I wish there had been an opportunity to stay longer and build the digital real estate.</t>
  </si>
  <si>
    <t>Decent compensation for advisors and managers</t>
  </si>
  <si>
    <t>Controlled advisory recommendations and culture - little autonomy in providing fiduciary advise to clients</t>
  </si>
  <si>
    <t>Wonderful team, hybrid work,‚ÄùUnlimited‚Äù paid days off.</t>
  </si>
  <si>
    <t>Compared to the amount of work, grossly underpaid.
Company is very disorganized which causes more work on your end.</t>
  </si>
  <si>
    <t>Remote, flexible schedule, decent PTO policy, decent benefits, stipend for home office, stipend for working at communal office spaces. Culture was decent.</t>
  </si>
  <si>
    <t>I was kept as a temp for over a year, continually promised to get hired on as permanent but it didn't happen for over a year. As a temp I was able to have very minimal PTO and benefits, but my pay way very low. I have no bereavement time off so when my grandmother died of covid I had to take unpaid days off. Additionally during my year as a temp I accomplished the amount of work that would have gotten me promoted but as soon as I was given permanent employment, they erased everything I did as a temp. So I was a year behind my peers in terms of career advancement which obviously greatly affected my ability to take part in bigger projects and my pay was consistently lower than my peers even though I had the exact same amount of training and was performing at their level. And then when I finally was able to be promoted properly, they let me go in company wide lay offs 2 weeks later. This company spends their money on fancy offices and execs for appearances instead of actually valuing their employees. Since October of 2021 there have been at least 4 rounds of lay offs. Overall, I enjoyed my time at ChowNow, I had a great team and loved the people I worked with. However, I can't speak as highly for the company as a whole.</t>
  </si>
  <si>
    <t>You learn a lot about the industry, and it can be fun at times.</t>
  </si>
  <si>
    <t>While it seems like being a "Fuelie" should be amazing, there is a lot of discontent amongst employees who feel stifled on a professional level. Many of us complained amongst ourselves that the investment into appearing cool could be applied to other things that would benefit both the customer and the employee.</t>
  </si>
  <si>
    <t>If you know the right people, advancement is fantastic. They have their own health clinic, and the stock/rsu options are nice</t>
  </si>
  <si>
    <t>Dog eat dog, if you don't drink the Amazon kool-aid, they find a way to push you out. "Think Big" only means to think just like them, and you're golden. 
 Boys club mentality</t>
  </si>
  <si>
    <t>Great place to work at cba</t>
  </si>
  <si>
    <t>None . All was very good</t>
  </si>
  <si>
    <t>Working with glimpses of creative brilliance. Working on the lot is like being in another world. There is everything you need from the commissary to Starbucks to dry-cleaning in the employee store.</t>
  </si>
  <si>
    <t>The red tape is unbearable and the meetings for no reason are never ending. The new CFO lacks confidence in the people she works with and this will affect people adversely.</t>
  </si>
  <si>
    <t>Almost nothing to say the truth.</t>
  </si>
  <si>
    <t>Toxic peers. Terrible middle management. Excel based work while being hired for ML related roles. No tech culture, everything is adhoc based. No work life balance. Zero job security. If you can code and willing to code , managers who have zero coding experience judge you as someone beneath them.</t>
  </si>
  <si>
    <t>Can leave whenever you want if you have time
Great people to work with
OT when it's available</t>
  </si>
  <si>
    <t>Doesn't pay well enough have to work OT to survive</t>
  </si>
  <si>
    <t>Decent and inexpensive benefits (medical, health and free flights -- standby!), good camaraderie.  Different events to show the company's "appreciation" of you,</t>
  </si>
  <si>
    <t>Very low starting wage.  Be careful of the union not protecting you for the first 7 or so months of your job.  In the reservation center, if you do well, expect that you'll be asked for more responsibility but without any sort of pay increase despite dealing with pissed off customers and co-workers asking ridiculous questions despite having over 5-10+ years more tenure than yourself.</t>
  </si>
  <si>
    <t>Decent Wage
7 paid Holidays
Opportunities for OT</t>
  </si>
  <si>
    <t>Too Much Favoritism for promotions
Area Managers are typically right out of college and have poor communication skills
Every job is all about numbers
Write ups occur without considering the personal issues or actual problems with work flow.
Poor communication to L1 associates
On site HR is not trained to handle most issues</t>
  </si>
  <si>
    <t>Located next to a mall</t>
  </si>
  <si>
    <t>Disguises itself as a progressive business entity but management is still stuck in the dark ages, rigid, shallow and all hot air
Too many unhappy, unfulfilled, power-tripping middle-aged/old women in leadership roles
Village champion mentality
Rampant favouritism to the detriment of staff groups and morale in general
Looks matter, form over substance
Too many self centered psycophants who make sure their stafd ID is on full display outside the office
Pointless meetings that drag to 2-3 hrs are the norm
Dead wood fill this company to the brim
Mental health not recognized as a valid condition because old school senior citizens in management were born in 1765</t>
  </si>
  <si>
    <t>Everyone was willing to share knowledge and positive information. 
One is able to learn a lot and to benefit from team work.
Positive environment, great employer and a good place to work.</t>
  </si>
  <si>
    <t>Low pay for employees starting their career with BMO
Too much pressure to show results, sales and referrals
Employees a motivated by bonus and less emphasis on quality.</t>
  </si>
  <si>
    <t>Come talented people
Good industry to work in
Good focus on innovation</t>
  </si>
  <si>
    <t>Canadian leadership is incompetent
Sales and client management teams are was behind market leaders, Amex and VISA
Leadership not able to drive improvement</t>
  </si>
  <si>
    <t>good opportunity and work culture</t>
  </si>
  <si>
    <t>Low salary in the beginning but high chance of success</t>
  </si>
  <si>
    <t>Most colleagues that you work with day to day are great</t>
  </si>
  <si>
    <t>Great disparity between upper mgmt and lower, handled COVID terribly by bringing all employees back after 3 months, no work from home flexibility even as a high performer</t>
  </si>
  <si>
    <t>The company continually offers training courses and programs in all business areas, so there is a lot of opportunity for professional growth and development.</t>
  </si>
  <si>
    <t>While the company utilizes a large number of consultants to contribute to strategic planning, consultants' opinions are not valued by long-term senior executives with over 20 years of experience.  The company appears to be going through a transformational change and could benefit by transforming their talent pool.</t>
  </si>
  <si>
    <t>Good pla e to work in</t>
  </si>
  <si>
    <t>Needs more attension from the managmnet</t>
  </si>
  <si>
    <t>Great compensation as well as benefits from the first day you start, 401k match up to 6%, tuition reimbursement &amp; plan discount. I have learned new skills regarding sales process &amp; support for devices. The people I worked with were also like my second family &amp; made the days working there bearable.</t>
  </si>
  <si>
    <t>Your schedule will never be consistent so forget about having a life outside of work. Hours are extremely long during the holidays with often times no lunches or breaks, depending on how busy or understaffed we were. Some of the managers were quite unprofessional as well as disrespectful; not only to their employees but also to some customers. They were caught doing very unethical things to increase sales. However, it seems the upper channels encouraged that because it was all about numbers &amp; no longer about loyalty to employees as well as customers. Company culture as well as customer experience went down hill, especially after the major layoffs within the past couple of months. It doesn't matter how long you have worked for the company. If they want to cut your position to cut cost from their own mistakes, they will get rid of you quickly!</t>
  </si>
  <si>
    <t>Pay is good. Work from home.</t>
  </si>
  <si>
    <t>You have horrible benefits. I worked for TP for 4 years and barely moved up the ladder while i saw people ive mentored moved up. All because i was in T2 &amp;amp; had such strict requirements i could never get a promotion. Schedule is poop. If you wish to have good work/life balance do not choose this job! Again i worked there for years but my schedule changed evey 3 months and forced to take night shift!! This job had so much potential but literally higher ups are running it to the ground because they cater to ‚Äúbusiness‚Äù vs actual care for their employers. To succeeed here you need to be there 100% of the time with 100% stats every week</t>
  </si>
  <si>
    <t>The part time off plan for full timers is wonderful. You get 4 to 5 weeks a year to be used for sick time, holidays, and vacation.</t>
  </si>
  <si>
    <t>You have no life outside of work when you work here full time. You also are pretty much not allowed to have any other engagements besides working there because it's a seven day bank. The company is so sales driven and treats their employees so badly that we were forced to cold call businesses begging them to open accounts with the bank. They also cut staff so badly that every single day the branches are struggling to help their customers, lines out the door with customer complaints. Oh and when the customers get called to rate the bank and your name is attached to their transaction, you get in trouble because the bad experience is your fault not the fact the bank refuses to fully staff their stores. When I first started it was the best job, it quickly became the most stressful job I've ever had and made me hate what I was doing for work. So happy I left this bank and I am never returning.</t>
  </si>
  <si>
    <t>Flexibility, care about you, multiple places to move up</t>
  </si>
  <si>
    <t>Salary low compared to other insurance companies</t>
  </si>
  <si>
    <t>Overtime pay on the weekends</t>
  </si>
  <si>
    <t>Micromanagement, unrealistic KPI, low salary and mental trauma</t>
  </si>
  <si>
    <t>Flexible hours, unlimited PTO, company car</t>
  </si>
  <si>
    <t>Poor management, high turnover, lack of training</t>
  </si>
  <si>
    <t>Good people at the company
Good vacation time</t>
  </si>
  <si>
    <t>200 calls/day
Have to follow script for sales pitch
No room for growth</t>
  </si>
  <si>
    <t>amazing people, dedicated and caring for their team and clients</t>
  </si>
  <si>
    <t>poor leadership and highly toxic environment</t>
  </si>
  <si>
    <t>1. Learning curve for freshers
2. A few good team leads
3. No deduction of salary in pandemic</t>
  </si>
  <si>
    <t>4. Policies are changed frequently without prior notice
5. Lacks appraisal policy and no proper increment
6. Judges by the numbers of hours you work and not by your efficiency
7. Have to juggle multiple projects daily
8. Makes it difficult to leave this company and might put your salary on hold for another 30 days even after serving notice period</t>
  </si>
  <si>
    <t>V good working level - passionate, keen to make a difference, v collegiate. Your peers are the only saving grace &amp;  keeps work meaningful.</t>
  </si>
  <si>
    <t>Ineffective toxic mgt, HR incompetent or permanently asleep, ridiculous workload n unnecessary last min changes, &amp; strange performance mgt system based on perception rather than results. Dun expect career progression - many haven been promoted in years.</t>
  </si>
  <si>
    <t>- Employees. CB4 boasts they continually improve the conditions of their employees and that it‚Äôs striving to become an employer of the year by winning various awards from places like Inc.com and builtinnyc.com among others. But If you look at LinkedIn data, the medium tenure hasn‚Äôt changed since 2009. This means people don‚Äôt stay with the company longer, so CB4‚Äôs claims of any ‚Äòpositive‚Äô changes are not working.
- Customers. Not great advocacy from customers. If you check out their case studies page online, you will notice that majority of the case studies they were able to secure were small, regional convenience stores. By the way, about 5 of these case studies are irrelevant as some of them are no longer CB4‚Äôs customers.
- Product. Currently, CB4‚Äôs main and only focus is for brick and mortar retailers. Physical retail space is a tough market to be in this digital age. Each year globally more and more people change their buying habits to online as it offers more convenience, safety and saves them time. Many brands leverage rich interactive online experiences that replace those that retail spaces used to offer so there‚Äôs less and less incentive to go to the physical store. In my opinion, if CB4 doesn‚Äôt rethink its core product offering and re-orient itself to start thinking about shifting global behavior patterns it won‚Äôt survive for long.
- Finances. The company doesn‚Äôt seem to be financially solid. Any small changes in the market or a loss of a customer almost certainly is going to send a shock wave throughout the entire company. So be ready to navigate in rocky waters if you decide to work there.
Other things worth mentioning:
- Drives image of inclusion and diversity but more of a marketing ploy than a practiced culture. See their leadership page. There are no BIPOC or female VPs as of (April 2021).
- Politics and top-down hierarchy.
- They make people sign vicious and inhuman one-way NDAs and separation agreements. People basically waive any rights to speak up. Don‚Äôt be surprised to see so many positive reviews and so little negative ones for that exact reason.</t>
  </si>
  <si>
    <t>There are no Pros here.</t>
  </si>
  <si>
    <t>Inconsistent policy. They keep changing rules to benefit their needs. Lazy co-worker that don't get held accountable for lack of production and poor quality of work. It‚Äôs a revolving door here. Always training new employees that you don‚Äôt know will be back after 1st break. Plant manager is not qualified to be a leader</t>
  </si>
  <si>
    <t>Good pay
Good benefits
Some really good people that work there</t>
  </si>
  <si>
    <t>FAST was more than just a job, it was a lifestyle. And they promoted that lifestyle left and right and the FAST family as being so important. But taking a step back now I realize how toxic it was. The family aspect was just there because we were not given a life outside of FAST. Even if you accrued enough PTO to see your family, you felt guilty using too much of it because you would be letting others down being gone for too long. As a family we were suppose to forgive FAST for their mistakes (not getting the project you wanted, having to do crappy tasks, traveling at a moments notice to fix someone else's mistake) but if you messed up once you are basically shunned like a pariah, and a lot of the company talks about your mistakes for years to come sometimes. 
It also took me stepping away to realize how much sexual harassment was blatant. By the partners themselves, by the client, by the coworkers, it is disgusting. And reaching out to other higher-up women in the company to talk to them about it (which I did on multiple occasions) just gets you told that 'that's how it is' and 'I went through the same thing'. 
This company was so much a part of my life and it really hurt to leave, but I am so happy I did. I wish everyone the best of luck there, but it isn't a culture that is healthy for most people, especially women.</t>
  </si>
  <si>
    <t>great coworkers, some staff as well.</t>
  </si>
  <si>
    <t>impossible to transfer departments
lower pay vs industry standard, and your lucky if you even get that with all the payroll issues
no investment into training employees
poor morale
no maintenance other than emergencies leading to significant down time
no interest from company to invest money to maintain or create future revenue streams for mill
did i mention everything is falling apart</t>
  </si>
  <si>
    <t>There are still some amazing people working there, even though most of the best ones have already fled the sinking (pirate)ship. There's no more pirate ship, just a floating life boat...</t>
  </si>
  <si>
    <t>Oh boy, where do I begin? 
Management ( mostly upper, but also some middle ) is composed of highly incompetent people that eventually will ruin everything. 
Promotions happen only if the manager likes you and there have been several cases of people promoted into management over night and without any interviews or tests, just because a senior manager has been pulling the right strings. 
HR has no power - I hope I'll never see any other company like this, where HR says no to promoting a shady person as manager and nobody listens to them.
No empathy to their employees - the last round of layoffs was done just before the holiday season. Just imagine celebrating Christmas knowing this was your last paycheck...
Compensation below market. But somehow, if your salary is ok for a senior you are expected to work day and night only because there's a junior in your team who makes half of your paycheck. The manager will tell you repeatedly that you are paid a higher amount, so you need to prove that you deserve it. 
Work/life balance is a nightmare in some departments, while others do nothing for days in a row. People in specific departments were being overworked even before all the layoff rounds, so now it's simply unbearable. 
Female employees are often undervalued and unappreciated - especially in tech positions. Somehow being a good engineer can only happen if you are a male. That is also another toxic management trait. 
They hire now, only to kick people out - sometimes even in weeks time. If you are looking for a job, search further. 
If you are still there and you are not looking for a job you better start, before you find out you are on the next layoff list.</t>
  </si>
  <si>
    <t>Flexible hours , not much more I can say</t>
  </si>
  <si>
    <t>Hahaha , where do I begin , so many to list not sure where to start .</t>
  </si>
  <si>
    <t>Decent salarie bonus and benefits.</t>
  </si>
  <si>
    <t>No strategy whatsoever. 
Management not interested bad communication.
Reports, reports, reports, reports</t>
  </si>
  <si>
    <t>The money was great.</t>
  </si>
  <si>
    <t>Unprofessional unorganized no ones on the same page. Director and recruiter lies to cover their butts. Was told there would be no sales or sales goals but had a number to reach every month.</t>
  </si>
  <si>
    <t>learning about IVs was interesting</t>
  </si>
  <si>
    <t>This is a company where small insecure men with big bruised egos succeed. Temper tantrums by managers and supervisors was not unusual. Type A management encouraged and accepted instead of true team building. Lack of diversity in management.</t>
  </si>
  <si>
    <t>Experience gain is pretty much the only pro I could mention here. You could start from nothing in terms of an IT skillset and they'll get you up to speed. If a diverse working environment is your thing, then you can also get that here.</t>
  </si>
  <si>
    <t>Where to begin. Management is not forward thinking. Being in the middle of a recession, working on top dollar computers be they desktop or laptop for a starting 15 an hour is almost criminal for a technical job that requires an attention to detail at production speed. Not to mention the work is back breaking, and depending on which department you get, your colleagues could be less than professional. On that subject, the amount of workplace animosity that flies around is horrendous, it doesn't help that the quotas that are set, provide the perfect breeding ground for a toxic working environment. Communications to the upper echelon is slow, any request you might want to make, any change you need to work better barring anything medical is usually shot down. You will be standing at all times, because the company subscribes to the idea of standing = better production. The training, if you can even call it that, is non-existent, and the procedure by which you work is ever fluctuating. And, the best thing of all, while you endure the day, best hope you don't have a configuration set wrong, or a clip on the back of a laptop isn't properly set. Tiny things like that, which could be easily fixed by the Quality Assurance technician in each department, will result in an NCI or Non-Compliance Issue.
But I think the most glaring issue of all was the promise of bonuses for harder work, great, awesome, there's the incentive I've been looking for, who doesn't like more money. Three MONTHS after we were supposed to get them they started actually cobbling together the metric for which bonuses should have been awarded.</t>
  </si>
  <si>
    <t>Great Caring People, Salary, Flexibility</t>
  </si>
  <si>
    <t>Benefits, Management, No Work Life Balance</t>
  </si>
  <si>
    <t>Amazing team members , Amazing opportunity for learning and growth, Direct Management was supportive and helpful.</t>
  </si>
  <si>
    <t>Lack of Advancement and Compensation, Went 3 years without a raise or promotion despite being a top performer. The learning comes through Trial by Fire and there is an emotional cost to that . Workload is overwhelming. Safety leads are pretty incompetent and you basically need to tell them how to do their job.</t>
  </si>
  <si>
    <t>good pay. that‚Äôs about it.</t>
  </si>
  <si>
    <t>unprofessional managers, extremely rude and unorganized bosses. i would have to constantly tell them my availability and my paycheck would be messed up every other week.
i never got fired. they hired someone else to replace me and made me go from working full time hours to less than 6 hours a week.
they purposely did this so when i would start my unemployment they would have to pay the lowest amount possible (unemployment benefits looks at your pay from the last 2 checks. my check went from $1,700 every pay to around $300).
worst company i‚Äôve ever worked for and if you have an issue there is no one to help since all the higher ups are spread out and there is no central office.</t>
  </si>
  <si>
    <t>After reading some of the negative reviews, I felt compelled to write about the truth of this organization. I worked in the Charlotte office for only 2 months, April and May 2014.  I left because an opening in my previous field opened up and I took it. However, from day one, this was a professional organization. The Branch Manager in Charlotte is a class act, and all she asked is that each employee gives a 100% effort ( As any successful manager would ask ). The office had a team feel to it, as well as the entire company. The VP of Sales was always available to speak with, and to help in any way he could. The owner truly cares about his employees, his stated goal is to be the best payroll company, not the biggest, and he vocalized this to each employee personally. What an outstanding concept in today's fast paced business environment.</t>
  </si>
  <si>
    <t>There were no cons to this job.</t>
  </si>
  <si>
    <t>Lots of great people who are very passionate about the brand and making it a success. Made a lot of great friends working here. 
Fun product and photoshoots, great content to work with although it has its limitations in today's censored world. 
Personal pro - survived many redundancies.</t>
  </si>
  <si>
    <t>The company changed hands many times during the time i was there. Each time with the brands changing direction. It became and ever evolving struggle to keep the brand feeling authentic when it was so hard to promote it in a commercial world. it's history is niche and underground - Trying to promote that was an issue with so much restrictions on nudity and 'adult sites'. 
When i started there were many toxic individuals in senior positions. over time they left and it became a much nicer environment to work in.
Then it was bought by four marketing and then that came with a whole new host of problems. AP faced a lot of direction from present agency (four marketings creative agency) and they did not care about the knowledge AP staff had on the brand / customer. There was a lack of collaboration or even independence. They ridiculed people, teams and interrogated individuals on their skills. Two men from Present acted like misogynistic babies and would at time throw a fit and storm out of meetings. I'm under the impression that these people have now left the business so hopefully not a problem anymore.</t>
  </si>
  <si>
    <t>It's not yet too late for the company to do something and fix all the mess up. But they would need everyone's cooperation.</t>
  </si>
  <si>
    <t>Their communication strategies don't work and things get messed up because of this. They would go on doing their own thing if they don't fully understand something. Teamwork is lacking.</t>
  </si>
  <si>
    <t>Nice people that you work alongside, happy hours, "chill" day-to-day compared to other companies in the industry</t>
  </si>
  <si>
    <t>-Compensation plan is a joke considering the responsibilities/expectations for your position
-Getting promoted to Senior Loan Officer is actually a pay cut from $15/hr to $12/hr... unless you are a top producer/don't have a conscience and can consistently fund 5+ loans a month
-Remote work is only for Senior LOs that are Top Producers- everyone else will be in office and being constantly monitored by the Sales Managers
- Literally everything from how long your first conversation with a customer was, to your credit pull % (in total about 20-30 different metrics that are not accurately adjusted are tracked and used against you every day)</t>
  </si>
  <si>
    <t>Very good benefits
Work life balance</t>
  </si>
  <si>
    <t>Poor management 
Lack of Career advancement opportunities 
High turnover
Lack of collaboration between accounts</t>
  </si>
  <si>
    <t>Good if it's your first time working</t>
  </si>
  <si>
    <t>Poor management, poor pay, breaks codes, poorly upkeep on most facilities and equipment.</t>
  </si>
  <si>
    <t>Got to travel pre-pandemic which was cool, but was put in a 2 bedroom 1 bath air bnb with a male coworker.</t>
  </si>
  <si>
    <t>You would think that the higher ups in a company would have the most responsibility and be well aware of what is going on within.. NOT HERE! Upper level management is a JOKE and everyone working there knows it. If and when and I stress IF, they actually show up to work, they hide in their private offices or gossip about coworkers in the kitchen. The most ANXIETY INDUCED atmosphere because in the morning you can be getting great feedback and by the afternoon they could be threatening your position, so you never know where you stand. There is NO CONSISTENCY due to the constant hiring/firing/quitting due to emotional trauma. My favorite memory was when the CEO's assistant, who was treated more like a personal assistant, actually picked up, quit and left on the spot midmorning because she could not stand it anymore.</t>
  </si>
  <si>
    <t>Pay, co-workers, multiple divisions, product suite (carts).</t>
  </si>
  <si>
    <t>Lack of direction with direct manager - would not bother to return calls if success was not directly related to personal agenda.</t>
  </si>
  <si>
    <t>Nice 9-5 schedule with weekends and holidays.</t>
  </si>
  <si>
    <t>Education should not be run like a business. The owner of these schools only care about money and it shows. Instructors make poor salaries which makes it difficult to find quality instructors. The tuition is high, and they nickel and dime for everything.</t>
  </si>
  <si>
    <t>Only Monappa is good to work with. He has great work ethics and truly care for his team.</t>
  </si>
  <si>
    <t>- Very strong initial technical training; a lot to learn and get your teeth into, in the first year or two.
- Good comradery between the rank and file staff.
- Fun activities done for charity.</t>
  </si>
  <si>
    <t>- Excessive micro-management and overly-high expectations of productivity, which are heavily affected by factors outside staff control.
- R&amp;amp;D has dried up and only offers niche products which are not good for mass-market selling, minimises sales' abilities to rapidly bring in additional business.
- Progress is challenging unless individuals vacate senior positions; sometimes the best person is now promoted for senior roles.</t>
  </si>
  <si>
    <t>International, always seeking for ways to improve</t>
  </si>
  <si>
    <t>Disfunctional HR team with a lot of politics</t>
  </si>
  <si>
    <t>Great employee development 
Great people</t>
  </si>
  <si>
    <t>Excessively long hours 
Hard to get promoted if you are not on the right team</t>
  </si>
  <si>
    <t>Good health and dental benefits but vision is useless</t>
  </si>
  <si>
    <t>Dysfunction from the top down. They promote people who aren't qualified for the role then give no support. It's painful to watch this happen to people you like. Too much red tape to get anything done. You have to work with a lot of frustrated people.</t>
  </si>
  <si>
    <t>Great employees, fun after work activities</t>
  </si>
  <si>
    <t>I will be forever grateful for my time at Lemonlight, I met incredible people and gained a lot of experience. However I would never recommend this as a place to work and would warn everyone before applying. LL seems like a great work place at first. Unlimited PTO, free lunches and dinners, after hours company events. It seems great. But then reality quickly sets in and the brutal truth appears. There is no work balance, people pull in 10, 12, 14 hour days weekly. The workload is impossible to get through in a normal 8 hour work day but you are expected to get it done. Being paid salary and having no OT, the hours are brutal and unhealthy. I have seen multiple people break down to tears because the stress is just too much. The production team work on the weekends and on holidays to get their work done and the team‚Äôs morale is always at an all time low. There is a reason there are only a handful of employees that have been there over a year. It‚Äôs surprising when anyone reaches their year mark and should be a red flag to anyone applying. There are anonymous polls that go out monthly asking employees to leave their honest remarks on how LL can do better and address certain problems. I‚Äôm not sure if these surveys are sent directly to the trash bin, but there has never been a single response to help address employee‚Äôs concerns. Instead they will distract you with a pizza party. The actual team is all incredible, it‚Äôs why most people stay for as long as they do. Management has no grasp of reality on how to support their team instead they focus on shifting blame and finding scapegoats. If people don‚Äôt quit on their own after reaching their breaking point, they are fired out of nowhere with no explanation. You never feel a sense of job security as you can plainly see their attitude of people being expendable. So in the end, I stand by my original statement that I am grateful for my time at Lemonlight. My only regret leaving Lemonlight is that I didn‚Äôt leave sooner.</t>
  </si>
  <si>
    <t>a good challenge to learn product and keep up to date, compensation, internal training.  If you are a very compliant rule-follower devoid of creativity or ambition, this job is for you.</t>
  </si>
  <si>
    <t>very political environment.  Internal company relationships trump capabilities every time.  No career path.  The Peter Principle seems to apply for sure.    Stay away from the Anaheim office if you must work for Extron.</t>
  </si>
  <si>
    <t>Social environment and quality of employee entertainment</t>
  </si>
  <si>
    <t>No culture of quality and learning whatsoever Leadership very green, low humility - high ego - know it all</t>
  </si>
  <si>
    <t>The company has clearly spent a lot of time developing a business structure and attempting to instill solid values into a medical niche field.</t>
  </si>
  <si>
    <t>Despite their stated values of patient care the bare minimum was acceptable performance in both clinics I supported. Staffing issues were so prominent that performance accountability fell by the wayside and a culture of gossip, cliques, inappropriate behavior (from micro-aggressions to overt isms) and flat-out defiance toward company values ensued. Poor performers laughed, ‚ÄúThey can‚Äôt fire us. Who else are they going to get?‚Äù Management clearly had no leadership training and acted as if it should be regarded a privilege to work there instead of listening to employee complaints and making changes. The word ‚Äúcompliance‚Äù meant we cheat, lie and cover each others‚Äô butts.</t>
  </si>
  <si>
    <t>I felt like there were lots of growth oppurtunites, great inter team communication, lots of benefits, and some great people. I felt like the very top cared about us as individuals.</t>
  </si>
  <si>
    <t>I worked at Rainfocus for around a year, but then left when my manager left and I had to work directly with one of the Middle managers. I felt like they didn't care about me or my team, and didn't have a good idea of what we were doing. I felt like my growth was hindered just because my manager was so bad and didn't pay attention to what we were doing. Really one of the worst managers I have had. Besides that middle manager, I loved working here, and felt the team and family connection that a lot of reviews are talking about.</t>
  </si>
  <si>
    <t>Great team of talented people, catered food, good office environment, entry-level game-industry positions, health/dental benefits/life insurance.</t>
  </si>
  <si>
    <t>Job Security is at about a 0 at the moment after the previous layoff. There aren't any negatives about the enviroment while I was there, and the reports of mysogyny/sexism in the workspace isn't true as far as im aware, the team was more-or-less caring but I'm pretty sure as of right now the situation is more desperate as they're trying to get the most out of employees as stated by others who recently left, and more than half of people there are actively seeking other jobs because they lost all sense of job security. Also, management didn't necessarily listen to people that kind of had a better understanding of the Roblox ecosystem, and projects were prone to failure due to a lot of poor game-design decisions, and spending on projects that were simply not of any financial profits. Roblox's game development industry is a very interesting one. There are games on the platform manned by only 2 people and bring in over seven-figures a year, while a VC-Funded In-person office space with over 50 employees at a certain point can't even deliver a relatively successful project besides about 1.</t>
  </si>
  <si>
    <t>serving poor, immigrants and other needy groups</t>
  </si>
  <si>
    <t>management does not value employees and puts them in unsafe conditions for the sake of the organization</t>
  </si>
  <si>
    <t>Friendly work environment, like-minded employees, provides good experience and trains in transferable skills, encouraged to write as much and freely as you like - good for creating a portfolio of work</t>
  </si>
  <si>
    <t>Too many people to a team due to mass employment, the wage is low for the amount of work required, things offered as opportunities for progression but not reflected in pay/pay reviews not offered</t>
  </si>
  <si>
    <t>- Rewarding work/research topics
- Nice people to work with 
- Good work-life balance (35h per week)
- DB Pension</t>
  </si>
  <si>
    <t>- Very little structure/processes in place to make research easy to conduct
- Little direction into who owns what, so researchers are having to direct marketing, communication, finance etc. which is not their strength 
- Publication takes 6 weeks which can make data stagnant
- Very little budget to bring in new ideas or build the team to generate new ideas</t>
  </si>
  <si>
    <t>Known Brand. Interesting opportunities for growth and some acquisiton, but hopefully they've learned their lesson about how to acquire companies cleanly and not blatantly disrespect the incoming employees.</t>
  </si>
  <si>
    <t>If I had to listen to one more bad sports/height joke I would have just thrown out my laptop. Nothing is efficient. Things take forever to get approved or be completed. We were forced to sign new contracts over a holiday weekend, no access to lawyers. Everyone thinks they're a hot shot. CEO left on our first week, people cried. There was some koolaid drinking going on that is sorta creepy.</t>
  </si>
  <si>
    <t>Subsidized cafeteria lunch and free espresso machines, when in the office.</t>
  </si>
  <si>
    <t>Like most of the recent reviewers, my view is that the new CEO, hired in late 2017 from Harman to cut costs, has transformed Gentherm from one of the best companies in the area to work for to one of the worst. When I started, the company was diversifying and expanding, as the CEO and top executives saw the peril of being reliant on one industry, especially one as cyclical as automotive. The new hire training program was one of the best I'd ever experienced, and the team was supportive and helpful. The company was losing money in the short term due to its long-term investments, which apparently spooked Wall Street after a few such quarters.
Since Phil Eyler started, there have been the highly demoralizing constant threats of layoffs and pay and benefit cuts. Within 3 months of his arrival, there was a round of layoffs that cut 10% of the headquarters (engineering, program management, sales, etc.), mostly those with experience (and therefore the highest pay), but not management, of course. Top level executives not on board with the new direction quit within a year and were replaced by yes-men from Eyler's former team at Harman. When COVID started, we all took a 20% "pay deferral" due to the plant shutdowns, which we were willing to do since it was to avoid layoffs. In the fall of 2020, the financials were sound enough to restore full salaries and back pay... And a month later, surprise layoffs! More followed in the spring of 2021. Again, it was the experienced employees that got the axe.
Given these changes, culture has shifted from collaborative to competitive, with those best at sucking up and covering for themselves remaining, while those with years of experience get to train their newly graduated replacements and then be shown the door. The numbers look great in the short term, but this isn't the way to foster innovation (one of the company's taglines). Revenue is increasing thanks to price cuts leading to new business, but this trend will reverse once the products are no longer competitive.
Meanwhile, much ink is spilled to the press about the company's commitment to diversity and inclusion, while really it's just for show - there's no diversity (not least of which is diversity of opinions) at the executive level. Foster a nurturing and supportive culture, and the diversity will follow organically without the dog and pony shows. The actual women on our team mostly thought the Gentherm "Women's Network" was a joke.
I can't recommend anyone work here until the CEO and his entire cabinet are replaced. I shudder to think what the culture where he came from must have been to have made him this way.</t>
  </si>
  <si>
    <t>If you think you have good skills, mental health, and such good qualities and feel like reducing them, get in there.</t>
  </si>
  <si>
    <t>As the title says, brace a culture where they are not expecting the employees to stay long.
Unlimited leaves, but on "your managers' approval", haha n that never goes smooth even if you take less than twenty leaves in a calendar year. 
You get to work with people who gets "embarrassed" (quoted word) and go for an escalation when you point out that they are coming up with contradicting requirements in a planning meeting.
Best culture for a remote-first company. "People not only lack empathy to reply to slack, but they also don't have email or meeting etiquette". 
5% is a very decent hike (So, if you think you did your salary negotiations well... haha).
There is no trust between the US engineering team and the India engineering team, so it's you don't have to do "much" if you are in India.
Congratulations for making till here among all the fake/paid reviews. You should be able to figure out that this review is true if you pay a little attention during your interview. The person who took the most interview is the manager of the team where 50% of the folks left the company within 1 year of his service.
Maybe you should search "Life @ Clari India" in leetcode career discussions for uncensored versions.</t>
  </si>
  <si>
    <t>Variety of subjects
Quiclky given responsibilities
A lot of smart people
International environment
Strong culture</t>
  </si>
  <si>
    <t>Not easy to move within the company when not from a top tier school
Mid-managers do not systematically challenge their teams
Difficult to evolve at some point</t>
  </si>
  <si>
    <t>Working with the rehab mgr Karen Yong was a real treat. She was active with the APTA Home Health section, so really knew details on the PT practice act and reimbursement issues, and was a true leader (which is hard to find these days). She was also patient, kind, and an excellent mentor.</t>
  </si>
  <si>
    <t>Healthcare in general is a challenge these days, requiring higher "productivity", and more and more documentation. Working in San Francisco was hit and miss - sometimes I had to go into sketchy neighborhoods or enter homes that were a health hazard. I ended up "retiring" early from the profession at the beginning of the pandemic.</t>
  </si>
  <si>
    <t>Clients are good and can learn lots of things from them.</t>
  </si>
  <si>
    <t>Work pressure, management is not good and salary is low comparitively</t>
  </si>
  <si>
    <t>Compensation, benefits, co-workers, technology, financial strength. Some managers are also good leaders.</t>
  </si>
  <si>
    <t>Hard to focus on your work while dealing with the reporting and training demands. Some managers are into old school approaches and micromanagement.</t>
  </si>
  <si>
    <t>Reputation, years in the banking industry.</t>
  </si>
  <si>
    <t>Management is clueless, operation's depts. are horrible, low pay vs. peers.</t>
  </si>
  <si>
    <t>-Terrible onboarding
-Poor communication.
-Paid training wasn't paid for in full
-Was asked to use my own credit card for Azure subscription
-Total disconnect between materials in training and what they expected us to know
-Onboarding device materials and setup were out of date by a year
-Quit before they trained us how to track our time (3 weeks in) and never got paid for my time past training</t>
  </si>
  <si>
    <t>Stable, bonus structure, good retirement</t>
  </si>
  <si>
    <t>Long hours, challenging bosses short vacations</t>
  </si>
  <si>
    <t>Poor management skills, Worst start up company to work for</t>
  </si>
  <si>
    <t>Management skills 
Director doesn‚Äôt treat people with respect</t>
  </si>
  <si>
    <t>NO pros whatsoever! RUNNNNN FAR AWAY!</t>
  </si>
  <si>
    <t>Horrible management, low pay, unfair</t>
  </si>
  <si>
    <t>People were trustworthy to work with.</t>
  </si>
  <si>
    <t>Management is trash. Staffing is consistently low and supplies are hard to come by. Raises are only given after mass exodus from poor treatment.</t>
  </si>
  <si>
    <t>No pros exist within this company</t>
  </si>
  <si>
    <t>no respect for the employee, no value for their contributions</t>
  </si>
  <si>
    <t>in the beginning working here was viable and there was money to be made
awesome coworkers (not the higher ups)
remot</t>
  </si>
  <si>
    <t>once they went public this place went downhill FAST uncessary programs and "improvements" hiring new staff while simultaneously laying off hundreds. Overworked, pay cuts, removal of promised bonuses, changes to policies constantly, constantly changes to all benefits</t>
  </si>
  <si>
    <t>The job is relatively easy once the learning curve of primary cell isolation is done. I would say we are overpaid for the role, but because we are on call every other week, it can be considered justified. The company provides free food and snacks, so I never have to pay for lunch or food if I don't want to. The people on my team are great and cooperative since the job is generally low-stress. My manager is amazing and accommodating, but my boss is too hard on us and has moods that end up flowing inappropriately into work. I do not have any other experience working in manufacturing, so I can't say how well management handles things or how benefits compare to other companies. We get paid medical and dental, and have free vision, disability, and life. I believe minimal paid parental leave is in the works for 2023.</t>
  </si>
  <si>
    <t>There are not really advancement opportunities within the team outside of tech lead, which is held over us to keep us on the team. The team itself is mostly manufacturing rather than RnD (unlike what I was told in my interview), which can make things boring and repetitive if you require variety. We are on call every other week. It's part of the job, but not ideal for busy people. I get called in out of normal business hours about 4 times per month, but the call schedule is released 1-2 months in advance for planning purposes. The PTO for the position is about 10 days per year, (accrues based on how long you have been on) plus 1-2 flex holidays. Most employees at Miromatrix are nice to work with, but there are growing pains associated with being a startup that cause a lot of people stress. I left because the job was not right for my work style and because of my boss‚Äôs actions and words towards the techs and my manager. My boss is extraordinarily hard on us and their frequent mood swings keep us on edge and worried about our standing in the team. During inclement weather, the executive team often works from home but refuses to let technicians stay home, even when activities at work are minimal to none.</t>
  </si>
  <si>
    <t>Cannot think of anything positive to say</t>
  </si>
  <si>
    <t>Backwards pay structure so unable to attract top talent
Very clique and close minded due to everybody working for the company for a long time, very few outsiders has led to the creation of a monoculture within the organisation
No idea how to do market research, marketing and project any kind of sound vision 
Develops products nobody really wants
Do not embrace new ideas and are not interested in hearing them
Dreadful atmosphere, nobody smiles
Was glad to leave</t>
  </si>
  <si>
    <t>Decent benefits 401K, Dental and vision.</t>
  </si>
  <si>
    <t>Not good pay ..no job training. you are basically left alone to understand and learn the requirements for the job.</t>
  </si>
  <si>
    <t>none that matter come to mind</t>
  </si>
  <si>
    <t>about 20% churn rate in TLV office
developers/team leads/product, even office managers</t>
  </si>
  <si>
    <t>Pay and benefits are decent, but could be better.</t>
  </si>
  <si>
    <t>Company was very mission driven in the beginning, but shifted to profit focus as it grew.</t>
  </si>
  <si>
    <t>1. For freshers and Interns can learn lot , coz there is no process and restrictions 2. you can get any kind of access to explore yourself into your domain.
3.You get work life balance better .
4.Flexible timings 
5.You can work by your own with the boundaries , ie.,timeline , target .</t>
  </si>
  <si>
    <t>1. No process ,
2. Not good for experienced and mgt oriented people.
3. Vision and mission is not into great path .
4. Deficiency of projects
5. They lose gem of people , and wont retain or to keep right people.</t>
  </si>
  <si>
    <t>great pay opportunities for growth Company growing fast Supportive staff</t>
  </si>
  <si>
    <t>General start up challenges that every company has</t>
  </si>
  <si>
    <t>Great people - wonderful team to work with Benefits and pay fair Wonderful projects and interesting client roster Beautiful working space Huge growth potential</t>
  </si>
  <si>
    <t>Lack of direction Lack of training and support Very little consistency Making decisions for the good of the entire business</t>
  </si>
  <si>
    <t>The pay is good, compare to other districts.</t>
  </si>
  <si>
    <t>The system itself is disorganized.</t>
  </si>
  <si>
    <t>Large organisation, ability to learn develop and train. Good culture. Global advantage, international culture. Diversity</t>
  </si>
  <si>
    <t>Busy, large organisation, many deadlines, long hours.</t>
  </si>
  <si>
    <t>consistent shifts, overtime is available, bonus</t>
  </si>
  <si>
    <t>worked hard for more than a year and achieved KPI'S, at the end they ate my bonus just because i was leaving.</t>
  </si>
  <si>
    <t>Nice people to work with</t>
  </si>
  <si>
    <t>None comes to my mind.</t>
  </si>
  <si>
    <t>Bonuses, only after being forced to reach sales goals.</t>
  </si>
  <si>
    <t>They don't care about employees, only care about numbers.</t>
  </si>
  <si>
    <t>Stable employer, Good cafeteria and great location.</t>
  </si>
  <si>
    <t>1. Bad and incompetent management
2. Terrible pay
3. HR doesn't advocate for employees
4. High turnover rates
5. Management has a revolving door policy</t>
  </si>
  <si>
    <t>Good place to take experience but dont stay to much time</t>
  </si>
  <si>
    <t>Payment below to the competitors in the same positions</t>
  </si>
  <si>
    <t>Could achieve a 4 ‚òÜ‚òÜ‚òÜ‚òÜ rating with right Management Acions.
Pros:
+Good pay
+Good technology 
+Good transferable technology to other companies
+Strong Business Financials &amp;amp; Backlogue.
?Possible career improvements with the ongoing acquisitions and restructuring?
?Potential to become a more favorable work environment as conditions settle down?</t>
  </si>
  <si>
    <t>Corp. Management established New Culture where People are totally expendable.
1. Poor Leadership and communication top to bottom.
2. Working environment, Highly Politicized, low level of Integrity, Honesty, Trust and Respect. Contradicting company's "Core Principles and Values." (greatest challenge!)
2. Lowered priority of quality &amp;amp; schedule to customer negatively impacting employee morale. (future unclear)
3. Lack of job advancement (may change)
4. Struggling with acquisitons and restructuring (may change).
4. Mediocre Benefits (only improve as competitors)‚Å∑</t>
  </si>
  <si>
    <t>Toxic culture and no integrity</t>
  </si>
  <si>
    <t>you get low feedback to keep trying to do better until you give up</t>
  </si>
  <si>
    <t>The working environment is great for work. 
You'll be provided with all the assets for flexible work. 
The leads are supportive and will guide in terms of the process.</t>
  </si>
  <si>
    <t>Despite all the facilities and support from leads, management is nowadays behaving like we are slaves and they treat us like we are not human. It all started after COVID-19, before that everything was good.</t>
  </si>
  <si>
    <t>Rude politely good kind nice</t>
  </si>
  <si>
    <t>Crew don‚Äôt care about others</t>
  </si>
  <si>
    <t>Enough hours and flexible shifts</t>
  </si>
  <si>
    <t>Often punch out later than expected</t>
  </si>
  <si>
    <t>One of the few places where you are promoted based on potential not necessarily on actual achievements, which is a pro when you want to grow fast, but also a con since you inevitably end up working with a bunch of sweet talkers that are good in showing off without getting anything done. The company teaches you a lot though and let‚Äôs you take on a lot of responsibility early on, which if you‚Äôre up for it it‚Äôs an incredible learning opportunity. The culture is very direct and decisive and I have always considered it to be a very strong side.</t>
  </si>
  <si>
    <t>Where do I begin... toxic management especially in the last 2-3 years, leaders in Mancom backstabbing each other to bring good news first, because it‚Äôs bringing the news that counts not delivering results. People with zero empathy leading the People function. Company is really struggling to reinvent organic growth, so targets are being achieved through constant cost cuts which are putting enormous pressure on already lean structure and people, pushing many into burnout. If you stay in role for too long something must be wrong with you, so many people like these are labeled ‚Äúblockers‚Äù. Diversity and inclusion is window dressing since the real career opportunities go mostly to Brazilian males and you can be awesome but if you‚Äôre not part of this club ‚Äúyou can‚Äôt sit with us‚Äù. Pay is below market average since you‚Äôre supposed to get good bonuses, but as the company struggles with results there‚Äôs been no bonus since 2019, shares are down and digging so you do the math. Super short term oriented which is sad for a company of this size.</t>
  </si>
  <si>
    <t>It's a good company to select</t>
  </si>
  <si>
    <t>No cons to share for the company</t>
  </si>
  <si>
    <t>good enviromentgood enviromentgood enviromentgood enviroment</t>
  </si>
  <si>
    <t>No transportNo transportNo transportNo transportNo transport</t>
  </si>
  <si>
    <t>Time with the bank went very quickly. i started on a 2 week temporary assignment and left 30 years later due to redundancy. My role was gone but I was offered others, but decided now was a good time to try something else. If redundancy did not come up I would still be there.</t>
  </si>
  <si>
    <t>Due to staff levels sometimes you felt that you did not know where to turn to next. It was very changeable and at times stressful.</t>
  </si>
  <si>
    <t>make a LOT more than just about any other retail job
a lot of paid time off
great health benefits</t>
  </si>
  <si>
    <t>its still retail
severe micro managing 
you will work every weekend
you will be made to force terrible products like "Hum" on people and will get in trouble if you don't</t>
  </si>
  <si>
    <t>Decent pay, benefits, remote work options, some people are smart/nice/productive etc</t>
  </si>
  <si>
    <t>Where to start... constant org changes by execs made and rolled out impulsively with little logistical forethought... expected to work and be available weekends even if they didn't tell you upon taking the job...expectations increase to unreasonable heights... constant stress and over work... very hard to move up and whoever butters the right person up gets the promotion or deference... essentially very little work/life balance... they care very little about employee retention and expect you to stay 2 years or less, it's rare you see someone on a team for longer than that and they are the most senior. There may be 'good teams' but you are expendable and they make it clear. Not a long term career place. Snake pit by NYT was accurate. If you want to be treated like a human, run the other direction or use it as a spring board/resume booster only. Won't get better unless corp culture changes and the execs don't care.</t>
  </si>
  <si>
    <t>Great opportunities for students to move around teams, gain exposure and experience, etc.</t>
  </si>
  <si>
    <t>Mostly admin work that is tedious</t>
  </si>
  <si>
    <t>Good teams, strong developers, knowledgeable business, potential for interesting work and internal mobility looked good (although I never moved, I saw many people moving internally and enjoying their new roles)</t>
  </si>
  <si>
    <t>Terrible frequently changing management lead to confused goals and money wasted on scrapped projects; management promotes bad workplace culture and doesn't care about the employees; HR and managers turn a blind eye to inappropriate behaviour in the office (affair between manager and direct report, teammates asking me inappropriate personal questions of a sexual nature in the office, the list goes on. Don't bother going to your manager or HR, they will literally tell you "I'm tired" because they are too worried about their own agenda to protect junior female employees. People would move to new roles within the company and leave behind major problematic projects and barely finished work for junior level employees with the advice "go figure it out";</t>
  </si>
  <si>
    <t>It wasn‚Äôt bad a few years ago but became toxic and intolerable.</t>
  </si>
  <si>
    <t>Leadership supports and encourages negative, chauvinistic, unethical behavior. HR department is aware and allows it to continue.</t>
  </si>
  <si>
    <t>Managers I have worked for are very inclusive and want you to succeed.</t>
  </si>
  <si>
    <t>Sometimes stressful depending on your location. I didn‚Äôt find training to be adequate for certain things.</t>
  </si>
  <si>
    <t>Product trainings were freaquent and relevant. A few people from middle management and across teams could teach you good tricks and tips.</t>
  </si>
  <si>
    <t>Most of the management is very bad. The project clients are very condescending and  try to get you to gossip about your managers to them. A lot of general gossip and unprofessionalism in the management teams.</t>
  </si>
  <si>
    <t>Easy work if you have common sense</t>
  </si>
  <si>
    <t>The employees are majority young teenagers who have no customer service skills or respect whatsoever</t>
  </si>
  <si>
    <t>Lots of different jobs to apply to, decent pay (lower than MRP) and work from home opportunities</t>
  </si>
  <si>
    <t>No promotions (you have to apply to different jobs), financial bottom line is the priority, culture is fake (straight out of an HR textbook)</t>
  </si>
  <si>
    <t>-open door policy
-everyone willing to help
-autonomy on projects
-6 month co-op, so you feel like a full-time employee by the end
-treated like a full-time employee, not a co-op
-great hourly rate and overtime</t>
  </si>
  <si>
    <t>-lots of reporting responsibilities in addition to regular, project-based work
-hard to get 2nd co-op (very competitive)</t>
  </si>
  <si>
    <t>Benefits, Insurance, co workers are nice</t>
  </si>
  <si>
    <t>Sales pressure, unprofessional management, complicated systems</t>
  </si>
  <si>
    <t>Flexible and tolerant management
Pay adequately international employees</t>
  </si>
  <si>
    <t>None I can think of</t>
  </si>
  <si>
    <t>Given little to no details about training or expectations, only to be talked about behind closed doors.</t>
  </si>
  <si>
    <t>more holiday, you can touch a complex framework and various technologies.</t>
  </si>
  <si>
    <t>system over designed and very complex, needs time to understand.</t>
  </si>
  <si>
    <t>You get a paid on time</t>
  </si>
  <si>
    <t>The owners don't care about their employees, they don't take covid seriously, there is extremely high turnover and overall just not a good environment to work in. There are only a few people who have been there over a year.</t>
  </si>
  <si>
    <t>Nice coworkers and good location</t>
  </si>
  <si>
    <t>Unrealistic expectations from management and work life balance not a priority</t>
  </si>
  <si>
    <t>Made lots of friends and had a ball with all the people who made the working day great</t>
  </si>
  <si>
    <t>work was hard ‚Ä¶ nothing more to to say</t>
  </si>
  <si>
    <t>Time off, great communication from higher ups-everyone was in the know, positive culture</t>
  </si>
  <si>
    <t>Stressful work environment, impossible metrics to meet to get bonus, always new to-dos and deadlines and endless shot goals and imz clinics</t>
  </si>
  <si>
    <t>Set schedule, easy to get hired, hour lunch break</t>
  </si>
  <si>
    <t>Takes time to make decent money and you hit a glass ceiling within 3 years. Benefits are meh. Professional growth is hard to come by.</t>
  </si>
  <si>
    <t>Great branding and history.
Top notch banking organization.
Some of the most dedicated people working in the front office.</t>
  </si>
  <si>
    <t>Organization, especially on the IT side is erratic, they sometimes think they are Google.
Personalities tend to focus on advancement rather than getting the job done rate.
Prefer band aids rather than longer term solutions.</t>
  </si>
  <si>
    <t>No pros they are a horrible company</t>
  </si>
  <si>
    <t>Teleperformance is not a great place to work very unorganized. Managers are not professional and if equipment is broke you get points even if you communicate with managers they still say its your fault and give you points. NO COMMUNICATION AT ALL.</t>
  </si>
  <si>
    <t>Stability,environment, experience, work from home during pandemic</t>
  </si>
  <si>
    <t>Lack of organization, weak leadership skills, no tool to work provided, very long hours and disorganized schedules.</t>
  </si>
  <si>
    <t>the pay and the benifits</t>
  </si>
  <si>
    <t>very toxic place to work</t>
  </si>
  <si>
    <t>Relaxed work environment
Flex scheduling
Open to new ideas</t>
  </si>
  <si>
    <t>Loudest people run the show
No direction for team or growth
Constant reorgs break moral</t>
  </si>
  <si>
    <t>Decent pay with flexible hours. Training was always well done. Some encouraging managers.</t>
  </si>
  <si>
    <t>Micro management. Pressure to put incomplete work through. Asked to wear too many hats.</t>
  </si>
  <si>
    <t>Great balance, great leaders! Loved my time there with great teams!</t>
  </si>
  <si>
    <t>Not many at all! There is a lot of organizational shift.</t>
  </si>
  <si>
    <t>Good Tech Stack &amp;amp; Collegues</t>
  </si>
  <si>
    <t>Did not find any cons</t>
  </si>
  <si>
    <t>Opportunity to work with nice brands and with great people on your in-house team.</t>
  </si>
  <si>
    <t>Everything else.
RH is non-existent, the teams are constantly overworked and understaffed and the Senior Leadership could not care less about the people.
It's obviously all about the account's profits for them and the everyone on the team can tell.
The overwhelming workload situation was brought up every single week to the senior staff and no visible changes were made in over a year. On top of that, there are virtually no promos or proper salary raises, even though the account keeps growing every single year. 
It's a constant battle to try to get as little as a 5% - 10% raise for anyone on the team, which is exhausting and discouraging for everyone. 
It's no surprise that the employee turnover keeps growing and they keep loosing amazing talents.</t>
  </si>
  <si>
    <t>Great fellow Teachers that care.</t>
  </si>
  <si>
    <t>The defamation of former employees</t>
  </si>
  <si>
    <t>Work with a team but you are working against each other most times so not a great pro</t>
  </si>
  <si>
    <t>They hire and see who‚Äôs ‚Äúmental stamina‚Äù can handle the sales workhorse environment. The competition is toxic not encouraging.</t>
  </si>
  <si>
    <t>Remote
100% healthcare paid
unlimited PTO (but who really feels comfortable using it)</t>
  </si>
  <si>
    <t>My experience as an employee ultimately ended terribly and I would not suggest anyone else work here. 
I was so excited to be apart of a company that seemed to truly care about their employees and the community in which they operated. Unfortunately after about 11 months with the company, I learned that was not the case.
On my 3rd day of onboarding, the company shut down the department I was hired in. They asked me to move to their sales department, in which I had 0 experience. Once I got into that department, they required me to change my original hours of 8-5 to work the 10-7 shift. That really negatively affected my family but we endured and preserved. In addition, I went above and beyond in that role and was promoted w/ a pay raise w/in 2 months. They then required the team to get their real estate license which took 6 months of studying outside of work hours. That also took me away from my family because of the weekly deadlines I needed to meet. I had to study on the weekends and late evenings. 
Ultimately, I ended up passing and receiving my license for them. However, 2 weeks later they asked me to move back into the department they originally hired me to be in. I was excited to go back but kind of bummed I wasn‚Äôt going to be able to utilize the license I just spent 6 months sacrificing for.
When I got to the original department, they heard so many great things about my work ethic in the sales department that they ‚Äúpromoted‚Äù me to a role that I did not apply, interview or fully understand the roles and responsibilities. I immediately expressed my reservations about the role but they said it would be fine, they would train me. The first 3 months in the new role (but original department) was slow because they were still recovering and setting up from the previous closure. After 1 month of being fully operational, I re-expressed my concern of the promotion so they said they understood and respected my honesty and put me back into the role I originally was hired for (10 months since being hired). After two weeks into the role, they fired me saying that I didn‚Äôt seem to be a good fit for Sundae. After I adapted to EVERY change they through my way. I was even one of the top 3 performers in their sales department for 8 months straight. They gave me a week of severance and sent me packing. They didn‚Äôt even offer me to move me back to sales but I soon found out why. 
1 month later, they did a huge lay off and gave those employees a much larger sum of severance. I believe this is maybe their 2nd or 3rd layoff in their 3 years of business. I genuinely believe they just wanted to avoid laying me off and used my honesty against me. I have way more to say but my fingers hurt lol. 
**I waited this long to share my experience to avoid the company from retaliating against my friends and family that still worked there.</t>
  </si>
  <si>
    <t>It‚Äôs probably good that everything is so constantly chaotic. It takes years for people to be noticed as incompetent.</t>
  </si>
  <si>
    <t>Marketing department is in shambles. Very high turnover above the normal rate. Scores poorly in surveys. Band aids instead of fixes. Lack of responsibility and accountability.</t>
  </si>
  <si>
    <t>Global Dimensions treats its employees like family. Starting from Chris Newton as the CEO, Candice and Noura, are people who care about you. "People first. Mission always," truly stands for their commitment to their employees. I have but high respect for the whole GD team, and I'd love to work again with them if there is ever a chance. Thank you for all the support you have shown me during my employment as a Linguist in Afghanistan. Chris and Noura, truly kind people and great leadership.</t>
  </si>
  <si>
    <t>None. This company makes you feel part of the team.</t>
  </si>
  <si>
    <t>I loved being a property manager. Pay was under what should have been for the size apartments and responsibilities I had. Benefits were okay.</t>
  </si>
  <si>
    <t>Training was left to another property manager who was on a power trip and took another property to manage. The first week or so was good but then there wasn't much time to properly train me on the many, many reports required. I asked the regional when she came to please help me but most of her time was spent on the phone or her laptop. The properties were being renovated and they expected you to add being over all that plus your other job duties. 8 hrs in a day was never enough! Why they didn't have a project manager over all this I will never know. Leases were expired and everytime I ask for help I was told there were more important things to do. HAP payments weren't posted because I was never shown how. Ledgers were messed up horribly. I kept telling them I need help! Was told not to tell the owners all the problems going on at the property. Basically to lie to them. When people skipped out instead of moving them out I was told to leave it as if they were just behind on the rent, that way vacancies would not be up. I could go on and on. The regional came in out of the blue and fired me for being overwhelmed. No warning, no write up, no verbal. Just your fired. Would I advise this company...NO! Look at their management turnover. They put more emphasis on their regionals than the backbone of the company. The property managers. I had 10 years experience and have worked at much larger properties. Not to mention the morals of their so called Christian regional that all she wanted to talk about when she took us out to lunch was having to drink before she had sex with her husband. Is this the best you can do Beztak?</t>
  </si>
  <si>
    <t>Benefits is about all I can think of</t>
  </si>
  <si>
    <t>Management ..,no clear path for advancement</t>
  </si>
  <si>
    <t>Great people to work with</t>
  </si>
  <si>
    <t>Pharmacist wasn‚Äôt a team player in my opinion</t>
  </si>
  <si>
    <t>Dogs in the office + free food on Fridays</t>
  </si>
  <si>
    <t>What you‚Äôll notice in most of these reviews is that they love the people they work with. And that‚Äôs true, people (who are not leadership) are incredibly kind, hard working people. You will find someone who has their own personality and you never have to worry about being yourself. And that definitely makes it a nice place to work. But people and the actual company/work, are two different things. 
People aside, there isn‚Äôt much about MT that makes it competitive to the job market. The overall consensus is ‚ÄòIt‚Äôs not bad‚Äù from people who came from much worse jobs. Seems to be MT‚Äôs bread and butter-- getting people who are extremely unhappy with their current job and use their values as a smoke and mirror to lure new employees in. And that could absolutely be what you need. However, if you know your worth, you‚Äôll quickly learn that you‚Äôre underpaid, overworked, and have no growth. 
This is particularly prevalent in less regarded departments where growth is not only non-existent, but it‚Äôs common to hold a carrot in front of you with the promise of growth without any actual plan on how that path to growth would be achieved. Do the extra work first, and MAYBE we‚Äôll start eventually talking about where you can go from your job position...even though your responsibilities have already changed and you‚Äôve exceeded these expectations. 
People are underpaid. It‚Äôs a well known thing (again, outside of sales) once people realize the work that they do for the amount they receive. You‚Äôll also learn quickly which positions MT values and which ones they deem replaceable.  It's very easy to just take a look at the market of the same event management/project management jobs within either the industry or outside with similar job descriptions and see very quickly that these jobs have a 10-15k+ higher pay. 
Leaderships, is well, very inexperienced, and that can be concerning. They are generally unapproachable, have a cold demeanor, and avoid conversations from most people. Leadership is either unaware of the issues that employees are experiencing, such as capacity, or blissfully ignorant and unwilling to actually make change. Having such leaders with a limited scope of experience doesn't help anyone. 
Final Thought: Only rewarding Sales, having incompetent leadership, and having a company boast about their values without actually delivering is not uncommon, nor is it unique to MT. That is common practice and that‚Äôs never going to change. They do not live up to their values, nor do they grasp that they are not competitive in a job market. In a recession market, maybe. In a thriving economy, they are subpar. Only advice is to treat this job as a transition, or acknowledge that there is little growth for you, which you may like. Set limits with yourself and your manager to not be overworked nor have them take advantage of your skill set for the same pay. Be smart and be strategic, because they aren‚Äôt.</t>
  </si>
  <si>
    <t>Pay Rate, Overtime, Weekly Incentives</t>
  </si>
  <si>
    <t>Unsympathetic Management, On-Call, Haughty Customers</t>
  </si>
  <si>
    <t>1. Good work/life balance. 
2. Great work environment. 
3. Supportive team.</t>
  </si>
  <si>
    <t>1. Salaries too low. 
2. Hard to get a promotion or advance in your career.</t>
  </si>
  <si>
    <t>Great team and management that create an open and motivating working environment where everyone is equal and where everyone's ideas and opinions are heard and encouraged. It's a great place to work for anyone wanting to make an impact and also be part of the tech world.</t>
  </si>
  <si>
    <t>Must feel comfortable making decisions and having a certain level of autonomy/responsibility.</t>
  </si>
  <si>
    <t>Decent benefits. Nice offices, real potential</t>
  </si>
  <si>
    <t>The London loan processing team is anything but agile, no self organisation within team, no autonomy, very much top down micro management. The team lead and other team managers are playing manipulative games behind your back, you cannot trust them, unless of course you do as they say, then you‚Äôre probably fine. You‚Äôll be expected to work lots of overtime and deliver to totally unrealistic timeframes, etc. Management in this team are out for themselves, be very very careful if you end up here.</t>
  </si>
  <si>
    <t>A company that prizes its ethical foundation;strong focus on safety; strong focus on gender diversity;very talented workforce.</t>
  </si>
  <si>
    <t>A very risk averse company; most leaders have avoided risky assignments; a strong connective thread for those who worked together in their early years, especially on California assignments</t>
  </si>
  <si>
    <t>-	Very good people to work with at the functional / individual level
-	Managed COVID situation relatively well
-	New CEO appears to be trying to correct course on culture and engagement
-	Generally interesting industries and technologies 
-	Opportunity to get a lot of exposure to different parts of the business operation</t>
  </si>
  <si>
    <t>-	Cost cutting mindset has been deep rooted over the last five years, the Finance dept is the driving force in the company, not tech or engineering driven
-	Technical team experience level has greatly reduced through headcount reductions and outsourcing
-	Unable to effectively innovate organically, technology is acquired through M&amp;amp;A with limited success
-	Finds ways to run leaner every year and burdens remaining staff with more work, resulting in extensive burnout; turns blind eye to turnover
-	Limited meaningful appreciation for employee experience, benefits continue to be reduced year after year</t>
  </si>
  <si>
    <t>sunrun looks like a amazing company they are so nice, but when you actually work for them its a different story. I have been in sales 11 years and have a bachaelors in marketing, the pandemic forced me to look for another job so I went back to in home sales. I quit sunrun after 30 days, I leave out the defamation of character and belittlement I suffered at the hands of my sales manager I can take that, I was there for the $$$ I was a 40% closer in water softeners, my first 30 days I got 3 sits sold 1 one, the first sit had already had a no from sunrun cuz they only do roof installs, but sunrun basically keeps sending reps out till they buy, they never close a lead, the second my company issue computer failed so I couldnt deliver proposal, the third appointment yeah, I was the second rep out but I sold it, however sunrun couldnt do it cuz costco doesnt let you do spanish demos so no sale first 3 weeks and training was 40 hours a weeka days a week, your on call 7 days a week even if you block off your calendar they call your emergency contacts . Oh if you do sell it cantake3 months to get paid, and your salary is 250 a week. I quit in 30 days,</t>
  </si>
  <si>
    <t>you will have no life, and you can make money if you survive the first year</t>
  </si>
  <si>
    <t>A place where one could improve their knowledge and progress in he/her own career path.</t>
  </si>
  <si>
    <t>Strict reporting time with not much grace period, is a disadvantage for one whom works late.</t>
  </si>
  <si>
    <t>You will enjoy working with the students to help them see their goals and dreams.</t>
  </si>
  <si>
    <t>Hostile working environment and does not promote growth or unity among co-workers.</t>
  </si>
  <si>
    <t>With properly trained and educated management, day-to-day activities can run smoothly. Properly staffed teams is a must.</t>
  </si>
  <si>
    <t>I experienced a Walmart where it seems that managers are not properly trained to oversee their staff. They seem to not have many leadership qualities and are only powered by their superior (typically store manager). It seems like a toxic chain because store managers will demand certain unfeasible results causing your assistant manager demanding unfeasible results. This then leads to team leads demanding exhausting and unfeasible results within their employees. All of this causes a big issue Walmart faces, turnover.</t>
  </si>
  <si>
    <t>Once had cutting edge benefits. Everyone else caught up so just average now.</t>
  </si>
  <si>
    <t>Out of date software and the new Viya stuff is not catching on with customers.</t>
  </si>
  <si>
    <t>School cafeteria had good food</t>
  </si>
  <si>
    <t>Everything down to the cost of food at the office bistro and "discounts" were geared toward the providers and their salaries. Insurance benefits weren't great, you're only allowed to see Froedtert providers, job duties did not meet salary expecations, too much work for too little pay.</t>
  </si>
  <si>
    <t>Pay and chances to grow relocate</t>
  </si>
  <si>
    <t>No complaints as of yet</t>
  </si>
  <si>
    <t>Great coworkers for the most part</t>
  </si>
  <si>
    <t>I hesitated in writing this review because I know a lot of it is not about Mark Spain, but about the real estate field itself, because it's a brutal field and 90% of people don't make it past their first year in this field. However, what pushed me over the edge and made me decide to write this review is the fact that I was sold a dream, and I feel I was deceived and lied to. My recruiter sold me a dream of making 65k on average during the first year. I made 0 (zero) in 2 months and quit. Lying about pay is common in the recruitment for sales positions, but it's still inexcusable, especially when the other firm I interviewed with, the local Coldwell Banker, was extremely honest with me and told me the average first year agent in their firm makes 17k their first year, which aligns with National averages. When I was reading these reviews, yes there were warnings but the warnings were too general, they could really be applicable to any and all real estate firms, and so I decided to sign on with Mark Spain. Originally about 10 people were recruited for our class. 7 didn't make it past the first Zoom meeting. Out of the 3 people left, it was me, a woman, and a frat boy who is literally still in college. First red flag. When the 3 of us first arrived at the office, it was in the same building a couple doors away from Raleigh Marketing Consultants, which is a branch office of Cydcor/Smart Circle, a well-known MLM pyramid scheme. Second red flag. The unpaid training is about 2 weeks. Before and during the training we were assigned to shadow 5 agents. I was the only one who didn't get any shadows before or during the training. Not sure if it was because I am Asian. When I emailed the director to ask why, I did not get a response for some time. She is very fast to respond to all emails, except on this one occasion. After our unpaid training, the woman quit, so it was just me and the frat boy. Now I have nothing against boys in frats, it's just this particular person takes every opportunity to remove his mask but on one occasion for reasons unknown he put on his mask when I came into the room. 2 months after training I guess I just had enough and wanted to make some money, so I quit. They play games. The first lead they gave me was someone who cancelled a month ago and never rescheduled, and they said oh what the heck give it to him. When I called to confirm the appointment, after doing hours of work, the lead said she had no idea of any appointments. After getting one joke lead after 2 months, I decided to quit. Right when I was about to quit, they tried to give me another lead. Even though I didn't have another job lined up, I was still not about to play that game, and I stuck to my guts and quit anyways. I now have a job making more money than I ever did ever before.</t>
  </si>
  <si>
    <t>No Pro‚Äôs! Shadiest, shittiest company you could ever work for ! Trainer was the absolute rudest! Made you feel like there was no way in hell you could be successful</t>
  </si>
  <si>
    <t>Shady company, your just a number to them that they can easily replace! Don‚Äôt value you as an employee! SHITTIEST TRAINING PROGRAM EVER! Sets you up for FAILURE!</t>
  </si>
  <si>
    <t>The location is hard to fault</t>
  </si>
  <si>
    <t>There is some wild micromanagement by the CEO</t>
  </si>
  <si>
    <t>Great job Security, Competitive wages, Super Cool Products, Excellent Co-workers. Ilmor offers many employee perks to show their appreciation. Many other reviews on Glassdoor are inaccurate by giving low stars. Ilmor is one of the best companies I've ever worked for. Be prepared to be challenged to the max, but the outcome can be satisfying and rewarding. Some of my best memories include working for Ilmor.</t>
  </si>
  <si>
    <t>Tight timelines, Work-life balance is heavily weighed towards work, Large gap between working level and management level.</t>
  </si>
  <si>
    <t>Great work environment , friendly colleagues and decent perks.</t>
  </si>
  <si>
    <t>Needs structure for career progression and more experienced folks at the top.
Management is not transparent.</t>
  </si>
  <si>
    <t>Efficency, Targets Easily meet, Professional human approach</t>
  </si>
  <si>
    <t>There are no drawbacks as long as credit go to each and everyone</t>
  </si>
  <si>
    <t>It can be a fun place to work and outsiders think you're cool because you work there.</t>
  </si>
  <si>
    <t>The organization is sclerotic to the point of not being able to correct procedural problems that have existed for decades.  They tout the fact that they promote from within but they promote based not on what you know or how good of a worker you are, but on how many hours of overtime you're willing to work and how much abuse you're willing to take.  They only want yes men.  They are committed to paying their employees as little as possible and do not give employees performance reviews or have any mechanism for raises once you've been hired at your starting rate, other than to compete for a different higher paying position.  To be considered, you better be working 6 or 7 days per week for years to prove to them that you're worthy.</t>
  </si>
  <si>
    <t>Working on the corporate side as a Recruiter, I had a pretty stable position, because the turnover rate in retail banking was so high.</t>
  </si>
  <si>
    <t>HSBC didn't really value employees and they made it tougher and tougher each year for the retail banking staff to earn bonuses.</t>
  </si>
  <si>
    <t>1. Great place to make progress
2. Ownership Culture</t>
  </si>
  <si>
    <t>1. Less Work-life balance
2. Inconsistent Spending</t>
  </si>
  <si>
    <t>Clima Laboral en el grupo</t>
  </si>
  <si>
    <t>Sueldo variable por debajo de mercado</t>
  </si>
  <si>
    <t>Pay is good. But you will definitely earn it</t>
  </si>
  <si>
    <t>You will work for that good pay. And work. And work. And work. Be prepared to devote your entire life to the company. If you have a family and kids. Take a good look. You won`t see them too much anymore.</t>
  </si>
  <si>
    <t>good pay and benefits for all</t>
  </si>
  <si>
    <t>there are no cons to speak of</t>
  </si>
  <si>
    <t>Flexible working conditions, friendly staff</t>
  </si>
  <si>
    <t>Senior management, communication, office politics</t>
  </si>
  <si>
    <t>Had the best experience with the company. Enjoyed my life at DH(trycarriage.come). Loved every bit.</t>
  </si>
  <si>
    <t>Nothing as such. Life were pretty much easy at Delivery Hero( TryCarriage.com ). That's all for now.</t>
  </si>
  <si>
    <t>none your on your own learn yourself</t>
  </si>
  <si>
    <t>no training, no support,went onto virgin media campaign and was horrendous no help TLS didnt care</t>
  </si>
  <si>
    <t>One the best organisations to help you with your work life balance as the company is very much employee oriented.</t>
  </si>
  <si>
    <t>None to the best of my knowledge.</t>
  </si>
  <si>
    <t>I loved my job and was given a lot of freedom to grow and design/implement projects as I saw fit. Pay was alright, perks were AMAZING. Man, I miss the food and kitchen staff. And the food. Gained a lot of experience and made a lot of cool friends and was able to further my career goals. Would have stayed a lot longer if I could have transferred to another team.</t>
  </si>
  <si>
    <t>The perks distract you from the people that suck and project budget allocation mismanagement. Also contractors are not treated equally - some of the full time employees go out of their way to not make friends that are contractors since "they'll be gone in 2 years anyways". Engineering was flippant and rude to support staff and treated like kings no matter what. Literally had someone be racist to my face about COVID and nothing was done about it. Also saw multiple contractors reduced to tears over the way they were treated. Having the company name on my resume is valuable in the tech world, and they know that so they can skimp on some areas.</t>
  </si>
  <si>
    <t>Flexible hours, meeting new people, meal discounts, various area to work in</t>
  </si>
  <si>
    <t>Long time for advancement, rude customers</t>
  </si>
  <si>
    <t>Good money, and great management</t>
  </si>
  <si>
    <t>Hard to hit targets, if you are in a quiet area.</t>
  </si>
  <si>
    <t>No setor onde eu trabalhei, era tranquilo, sem press√£o, √≥timo sal√°rio, dois hor√°rios de caf√©, o chefe n√£o ficava no p√©.</t>
  </si>
  <si>
    <t>N√£o davam valor em quem realmente trabalhava e sim, a quem se juntava a "panelinha" ou quem eles achavam que convinha. Pessoal efetivo olhava para os tempor√°rios como se eles n√£o fossem gente. Infelizmente, MTA falta de profissionalismo e compet√™ncia.</t>
  </si>
  <si>
    <t>Company policy was that ALL emails go through the CEO, if a Customer is the recipient of the email.  When he deems appropriate, he will contact the client regarding the issue, without first discussing the issue with the employee that is working with the client.  If your email contain grammatical or spelling errors, he would then demand that emails go to him for proof reading prior to being sent to clients.  Ignoring the fact that his own emails would contain spelling and grammatical mistakes.
As far as being an employee that couldn't cut it, I could cut the work, but chose to not endure the treatment I was seeing inflicted upon my co-workers.
If you are looking to be an employee of a "software" company, Adesso is not your company of choice.  According to the CEO, the company is not a software company, but a Sales company.</t>
  </si>
  <si>
    <t>Innovative SW platform
High Profile Clients</t>
  </si>
  <si>
    <t>Aggressive schedules
Sr Management lacked skills needed to deliver and maintain employees</t>
  </si>
  <si>
    <t>I enjoyed being able to make my schedule. This is the only good thing about when I worked there. Also loved doing patient care of course but not with little to no help.</t>
  </si>
  <si>
    <t>Patient staff ratio was horrible. The floor I was on had a over all horrible mentally. The negatives goes on and on overpowering the good.</t>
  </si>
  <si>
    <t>You will get learn about cybersecurity from bootstrap.</t>
  </si>
  <si>
    <t>They can terminate your training anytime and won't give you the your deposit(1.15L) also (happened with trainee colleague) ,
They'll offer you high salary package(myth) and If you're fresher then you have to compulsory enrol into the company's own training certification course and ask you to give them 1.15L as a security deposit.
They'll contract with for their "company's own training certification course " and there is nothing mention like what will be your CTC package after this training course. all thing in verbly only. (FRAUD started)
So when you successfully complete the training HR will tell you the we never promise you this package and ofcourse you don't have anything in written proof.
Your training never going to complete in time I'll take double the time they say (in my case they said 4.5 months nd it was lasted 8.5 months).
You'll sit idle and no one takes your training sessions as their employees are busy with projects. 
They we'll put you in on-project training where you have to do the same job as their emp do at free of cost pulse also need to complete training sessions and task.
when you complain about work burden HR will tell you the do training task after the whole day shift(9hours) and also wanted to do task on weekend and holidays.
Bascily FRAUD company just want your security deposit and free work from you.</t>
  </si>
  <si>
    <t>A lot of freedom to try new things</t>
  </si>
  <si>
    <t>Overwork. Poor communication. Blame culture.</t>
  </si>
  <si>
    <t>PROS:
Flexibility to work from wherever whenever</t>
  </si>
  <si>
    <t>CONS-
*Inexperienced Leaders with inflated job titles and big egos
*Retention of poor performers(Creating new roles for them)
*Reaching out for unsolicited feedback on candidates/Back Channeling is a norm 
*Equity is a buzzword-Favoritism applied to promotional opportunities. Exceptions are always made for those closely connected to CPO/CHRO
*DEI is a buzzword: when there is high turn over among your black and brown employees to include your DEI leader that‚Äôs a red flag
*Retaliation: Leaders dissect low engagement results to try and identify who said what vs holding themselves accountable and trying to fix it.
*Lack of respect for boundaries: Common to receive slacks and texts while on OOO
*Lack of true strategic growth mind set. Reactive and Inefficient: if it‚Äôs the most backwards time consuming way of doing things‚Ä¶that‚Äôs usually the path forward
Way too chaotic and dysfunctional for a company that is &gt;1k and 2 years post IPO.</t>
  </si>
  <si>
    <t>It‚Äôs a paycheck with benefits, but the benefits get worse every year.</t>
  </si>
  <si>
    <t>If you have no expectations then MNN is the right place for you... but if you are good at what you do, take pride in improving yourself, and expanding your skill set, this is the wrong organization.
During the interview process they make you believe the company is progressive, you will have the opportunity to be apart of something, and that you are helping the community. Truth is, it‚Äôs a money grab to enrich the upper management. For a company that has no other viable income sources (except the cable company fees residents pay) and has not developed anything to bring in new income they make an exorbitant amount of money. If you want to verify, It‚Äôs a nonprofit you can look up the incomes.
If you become an employee, upper management works very hard at distancing themselves from their employees, there is no respect for your talents, or your professional opinion. The staff is unhappy and the culture is toxic. There is a vindictive attitude towards employees, especially if you leave, so don't think you can ever use them as a reference for future employment.
When employees leave the organization, their positions are usually not replaced and other departments are forced to absorbed their workload with no change in salary. Only a select few get raises or title changes and there is little to no upward mobility in the company. 
The CEO micromanages everyone, let that sink in. You may ask how does he get his job done, the answer is he doesn‚Äôt. He prevents dept. heads from doing their jobs, so in comparison he looks stellar. When he has to make important decisions he freezes up and makes no decision until he is pushed. If the idea is not his, he will reject it and then reintroduce the idea as his own, with new semantics.
My advice to you, find another place you can grow.</t>
  </si>
  <si>
    <t>Nice building. Free food. Met some nice people.</t>
  </si>
  <si>
    <t>Leadership is awful. They all want to be like Dave Ramsey.</t>
  </si>
  <si>
    <t>- A lot of freedom in decision making
- Interesting features &amp;amp; initiatives</t>
  </si>
  <si>
    <t>Work from home is the only one I can think of</t>
  </si>
  <si>
    <t>Absolutely no venting allowed. No privacy. They monitor your private conversations and ask you to tattle on other employees if they are even remotely negative. You can't get a breather between customers. They treat you like a child here and make excuses for why they can't raise pay. Just stay away! It's so toxic here.</t>
  </si>
  <si>
    <t>I very much wish I could muster something positive from my experience at SH, but I can not.</t>
  </si>
  <si>
    <t>Employees are mere numbers here. Patients are seen as nothing but dollar signs and the total of what their insurance can bring in. Of course there are amazing employees here who love and care for others, but it isn't encouraged, and often results in reprimand due to not being policy.
Stress levels are HIGH. 
Work life balance is nonexistent. 
Employees are undervalued.
Nepotism in upper management is blatant.</t>
  </si>
  <si>
    <t>Great colleagues (though reducing in numbers)
Opportunities generally to progress - but not if your face doesn't fit</t>
  </si>
  <si>
    <t>Frustration at constant mismanagement and restructuring
Unsure if CEO is aware of goings on</t>
  </si>
  <si>
    <t>Dogs. I still think of all my dog friends I made while working there for two years.</t>
  </si>
  <si>
    <t>Dog fights due to management letting dog/human aggressive dogs into already full parks. Understaffed, to the point where handlers are sometimes left with 60+ dogs their entire shift and have to decide between lunch or leaving the dogs unattended.</t>
  </si>
  <si>
    <t>I'm not sure there are any</t>
  </si>
  <si>
    <t>The owner is a sexual predator who gropes his staff members. The office had CCTVs everywhere where you were always being watched and it felt like a prison. Bullying happened regular and the partners ignored it</t>
  </si>
  <si>
    <t>Flexible working times, making a difference to kids</t>
  </si>
  <si>
    <t>We're literally chewed in spat out like german sausages - you're just a number.</t>
  </si>
  <si>
    <t>Profit sharing bonus &amp;amp; Christmas bonus but both are based on time served‚Ä¶so don‚Äôt get too excited until you‚Äôve been there at least 5 years.</t>
  </si>
  <si>
    <t>1.Micromanagement
2.Brainwashes you with the culture but it isn‚Äôt truly being lived
3.Cares more about numbers than employees
4.Horrible health insurance plan
5.Only cares about you while you are benefitting them and once you mention leaving, it‚Äôs like you never existed.
6.Has a dedicated Culture Executive that goes around finding out everyone‚Äôs business so that he can keep the Senior Team informed. So much gossip.
7. Everyone is leaving so training is blown through so you can be ‚Äúbeneficial‚Äù to the company.</t>
  </si>
  <si>
    <t>I didn‚Äôt need to use their Benefits, but employees say they are good.</t>
  </si>
  <si>
    <t>If you want to go back to middle school, then this place is for you. 
In the past two years, it‚Äôs gotten so much worse! They are understaffed due to the toxicity‚Ä¶ leaving new employees untrained and confused or current employees changing positions, to figure out their job on their own. 
You will be overworked, overwhelmed and then some of the management will jab with negative comments creating more stress. They should take this time to use as training or learning, but instead, they jab. 
CEO will say she supports you, but those are just words. She allows the toxicity to continue because it‚Äôs easier to ignore it then actually do anything about it. 
The negativity is out of control!!</t>
  </si>
  <si>
    <t>Free food Fun coworkers Sometimes interesting customers</t>
  </si>
  <si>
    <t>Overworked and underappreciated Requesting off doesn't work because you will still be scheduled You will be expected to work your station as well as others</t>
  </si>
  <si>
    <t>Get to meet people in industry</t>
  </si>
  <si>
    <t>Most conversations are fake. Sales techniques are used to make you feel good. There is a lack of sincerity. Too old school and management does not have forward looking track.</t>
  </si>
  <si>
    <t>Good pay
Easy job
Okay hours
Easy to commute</t>
  </si>
  <si>
    <t>Terrible managers
Systems that don't work
Unfairly strict with breaks, and will call you into HR for being 40 seconds late</t>
  </si>
  <si>
    <t>Play and test the latest software</t>
  </si>
  <si>
    <t>Will not guarantee consistent hours for work, or days. The work schedule is sporadic and chaotic at best with little to no warning as to when you are next working or what your next project will be. Apart from senior permanent staff, all other staff members will be required to hot-desk even during the pandemic. All staff members are expected to perform duties that are above their pay grade or level with no guarantee of promotions or pay rises, only a title change.</t>
  </si>
  <si>
    <t>Client facing opportunities
Can get to polish soft skills</t>
  </si>
  <si>
    <t>Only market research not any sort of consulting
Mundane work</t>
  </si>
  <si>
    <t>Work was fun at times</t>
  </si>
  <si>
    <t>Micromanagement at its finest. Treated like children</t>
  </si>
  <si>
    <t>Tons of company resources, great benefits, amazing infrastructure</t>
  </si>
  <si>
    <t>This company lures foreign recruits to come work at their Korea HQ with competitive salaries.  Unfortunately, they do not tell you that there is a double standard for performance evaluations.   They never communicated this ahead of time. There was no transparency at all.  Foreigners are evaluated at a higher standard because of their higher incomes.  You want to hold foreigners at higher standard because of their higher pay? then give them a higher position that would be aligned with their salary so that they can deliver on higher expectations.  This is discriminatory.  Their bait and switch practice is very questionable and incredibly unfair</t>
  </si>
  <si>
    <t>Amazing IP, products and benefits. Competitive pay. The opportunity to work with the best in the industry.</t>
  </si>
  <si>
    <t>Managers didn't manage anything but their own careers. Massive communication issues between business sections. Reluctance or slow to embrace competitive cutting edge technology and ideas in parks.</t>
  </si>
  <si>
    <t>Truly entrepreneurial spirited company that knows how to pivot when necessary and take opportunities that knock. I worked at this company for 10 years as employee #2 to start-up the firm and saw it grow to over 800 employees and $70M in gross revenue. I only left to go back to another entrepreneurial start-up because those are my passion.</t>
  </si>
  <si>
    <t>No cons, in yea r 2019 the company was bringing in new equity partners and new leadership becoming more structured and my passion was the start-up organizations where i felt i could add the most value. I remain in contact with employees that work there still today.</t>
  </si>
  <si>
    <t>They will throw a lot at you but...</t>
  </si>
  <si>
    <t>It's not worth it. 
The CEO and the two other directors are the worst people I have ever had the misfortune to work for. They do a great sales pitch at interview but once the honeymoon period is over they will work you until you break.
The turnover of staff for such a small company is staggering and most employees don't last a year. 
The CEO is manipulative and a bully. He frequently undermines and screams at people in meetings the other two directors just let him. 
More worryingly however is the way he treats female employees. I've heard him make and seen him send inappropriate remarks to female employees on multiple occasions. How he thinks he can behave like that in 2022 is beyond belief. 
I strongly recommend anyone who interviews with this company to look a little bit deeper on some of the claims they make about the business and it's success- there is a lot of smoke and mirrors going on here.</t>
  </si>
  <si>
    <t>You get to reflect a lot while killing yourself</t>
  </si>
  <si>
    <t>Stuck in the past with their operation</t>
  </si>
  <si>
    <t>No pros for this company. Joining this company itself is worst experience of mine.
Behaviour with employees in a pathetic way is something this company teach
Best in providing fake reviews
Favouritism with employees leading to the worst team management</t>
  </si>
  <si>
    <t>Worst manager.
Management is poor in managing team and also poor in providing increments
Asking for bonds if need increments
Don't know how to talk with experienced person. For them employees are like puppets.
Worst experience of HR and policies
All experienced developers have left this so called company.</t>
  </si>
  <si>
    <t>Friendly and helpful colleagues
Strategic location
Work load slightly lower than big 4
Good exposure to various audit engagement in various industries</t>
  </si>
  <si>
    <t>Low salary compared to big 4 or even other mid tier audit firm
Average staff benefit
High staff turnover</t>
  </si>
  <si>
    <t>Smart people. Great to work with and easy collaboration.</t>
  </si>
  <si>
    <t>Managers are punitive and petty. Draconian!</t>
  </si>
  <si>
    <t>I really enjoyed having strong product leaders and mentors to learn from. They were diligent in teaching me the ropes for how to write good PRDs and crafting user requirements.</t>
  </si>
  <si>
    <t>Because it is now a rather large company, there is the customary politics that come with the territory. This becomes a bit transparent during perf time (which is the twice-annual promotion/bonus assessment time).</t>
  </si>
  <si>
    <t>nice people and postive space</t>
  </si>
  <si>
    <t>not that clean and needs better</t>
  </si>
  <si>
    <t>Work Life Balance is good</t>
  </si>
  <si>
    <t>Low Pay and and not supporting</t>
  </si>
  <si>
    <t>Benefits, health initiatives, facility is nice, gym is great, I worked for some really great people.</t>
  </si>
  <si>
    <t>You‚Äôre just another number, you always know you‚Äôre disposable, mass hirings and layoffs, the company is built to impress shareholders.</t>
  </si>
  <si>
    <t>Favorites are rewarded with bonuses and promotions.
Make a difference in the lives of patients
Good Commute - not in city
Excellent cafeteria food. Free Parking.
Good culture for politicians.</t>
  </si>
  <si>
    <t>Management identifies "scape goats" early in career and blames them for when projects are not set up to succeed. Management does not take accountability at all. Ultimately scape goats are put into an HR corrective action and fired.
Even if you are identified as a good steady performer then it is a matter of time before you get laid off. They only want to keep the top 35% of the work force.
Overtime is expected without compensation.
You are expected to "volunteer" for extra work and if you do not then you will get a bad review. 
Favortism is the mantra of management. Not objective performance. 
No....I am not just lashing out. This is an honest review. Just ask someone who works there.</t>
  </si>
  <si>
    <t>it is nice company to provide good working environment</t>
  </si>
  <si>
    <t>it is very strict in nature and its type of work</t>
  </si>
  <si>
    <t>They pay our checks on time. My dept management structure has a good understanding how to run a business and treat customers fairly.</t>
  </si>
  <si>
    <t>They do not do anything proactive here. Everything is reactive and requires many hoops to jump through to get approval. It‚Äôs the blind leading the blind in this company. Concierge is horrendous, as well as permitting. Getting tools and material forget about it. The gas cards and the pep boys accounts don‚Äôt even work some of the time, and they ask employees to pay out of pocket to cover the expenses with a promised reimbursement. Most of the issues could be avoided if they just stayed ahead of the potential issues. They also don‚Äôt listen to most of the employees unless you‚Äôre buddies with the cronies up top in management. A lot of ego‚Äôs running this company concerned with their appearance and not concerned with tangible value they add to their employees lives or more important their customers lives. Company has a lot of potential but they seem not to care and don‚Äôt fix any of the issues. Everything is a bandaid and they reward people not for good work and using their knowledge but for poor planning and forcing people to get jobs done despite the circumstances even if they‚Äôre done incorrectly.</t>
  </si>
  <si>
    <t>Decent benefits package right when hired.</t>
  </si>
  <si>
    <t>Upper management cares more about getting new products in-house than solving problems with existing products lines. You literally have to follow the demands of the customers to make them happy rather than do what's right to have a successful production line.</t>
  </si>
  <si>
    <t>Great place to move forward.
Yes, I would work there again!!!
2015/16 was my last year. Not 2018</t>
  </si>
  <si>
    <t>Some employees, interfering without permission!
My manager told me one day that the time for mourning the loss of my husband's passing away has lasted long enough! He definitely meant it!
If I started to cry again, I definitely had to go for a walk across the lot to let it out an ketch my breath again. I couldn't let him see me or anyone else either or they would tell him. I would get the "that's enough " word's again.</t>
  </si>
  <si>
    <t>Performance bonus is pretty decent.</t>
  </si>
  <si>
    <t>1. Low pay as already mentioned by multiple other reviews here. They will not hesitate to lowball you and say this is industry average (it is not) so be sure to fight back when they first offer you. 
2. Extremely boomer company with mindset of becoming FinTech. The whole company is filled with boomers who barely even trust millenials doing work. The amount of times my ideas were rejected because they were "unprofessional, not corporate enough, not right". The boomers love to ask for your suggestions and ideas but end up using their own because thats what they think is best :)
3. Cheapo company. 0 employee welfare - Your options at the pantry: Water (hot/cold). That's about it. Company earns millions a year but can barely afford to buy simple snacks and drinks for employees? No wonder turnover rate so high. Even the coffee at the coffee machine also must pay. Expects employees to OT but cannot provide simple employee welfare. Did I mention no OT pay as well? Oh yea they give u $5 meal allowance when you OT at CBD office (chicken rice also cost $7 la). 
Overall company is a sinking ship imo, get your boomers to change their mindset or its all over for Phillip. Gen Zs are entering the workforce and you will need them to stay in trend, good luck retaining any of your current interns.</t>
  </si>
  <si>
    <t>-The company is WAH full-time
-Super inclusive 
-We get to pick our start time up until 9:00am
-Get a good amount of sick and holiday pay</t>
  </si>
  <si>
    <t>-New York Life is wanting us to switch to work in the office
-Work life balance is SUPER difficult due to the high work load
-You can only use 1 week of holiday pay at a time unless. So, taking a 2 week vacation, you have to get special permission
-Didn't get a raise this year due to NYL merge</t>
  </si>
  <si>
    <t>If you are in the in crowd you can do anything you want</t>
  </si>
  <si>
    <t>Cut throat and everyone will throw you under the bus</t>
  </si>
  <si>
    <t>- Some of the people were pretty nice. I can't really think of much else.</t>
  </si>
  <si>
    <t>Many companies will exaggerate to an extent during the hiring process, but LFG went above and beyond. Expectations were set horribly. The training and support were lacking and they did not reimbursement for the necessary study materials.</t>
  </si>
  <si>
    <t>There are none nothing is good about this job</t>
  </si>
  <si>
    <t>they will not pay you at times. Work life is not there you work more then you are at home. Pay is not worth the, at time they will not pay for days that you have worked</t>
  </si>
  <si>
    <t>They do take care of employees. My team was good so my experience at YASH was really good.</t>
  </si>
  <si>
    <t>Their notice period is 3 months long.
They don't give payment to employee once you put your resignation. So no payment for whole 3 months. It get worse though. 
They will provide the full and final settlement statement after 15-20 days of your last day. And after you send the formal acceptance of f&amp;amp;f statement, they take another 20-25 days for the final payment to be deposited in account. 
So all in all you don't payment for 4 months.</t>
  </si>
  <si>
    <t>- You have to give up 3 tot 6 months of your time to them because it's "required"??? (meaning you're not allowed to get a vacation and etc.)
- One of the owners of the company is a psychopath, while the other is sweet and actual nice person.
- The one who isn't nice likes to just stare at you from inside the store our see you work from across the street from the store window</t>
  </si>
  <si>
    <t>-Amazing clients. Opportunity to build meaningful relationships. -Recent pay increase for all Case Managers made the pay quite competitive. -40 hour a week schedule is pretty manageable. You are not expected to work excessive hours/nights or weekends.</t>
  </si>
  <si>
    <t>-No training whatsoever. I didn't even meet my boss until my second week on the job. They just showed me my office and told me to wait until a client walked in. -Super low employee morale, incredibly high turnover. I was made to feel completely replaceable the entire time I was there. LIHI makes no effort when it comes to retention, they just accept that people will leave after a short time and then complain about their retention issues. -Gossipy/"mean girl" culture among upper management. Lack of transparency about who your supervisor is/who you report to. Supervisory relationships can be incredibly tense. -The new structure where property management supervises Case Managers is morally wrong and counter productive. CMs are now expected to "help" with evictions, collection of past due rent, etc. There were times when I felt like I was being punished for advocating for a tenant when I was really just doing what I felt like I was supposed to do based on my job description. -Unclear expectations. Written policies are either nonexistent or inaccessible. If you ask someone a question you are often passed around to different people and no one has an answer. -Because of the retention issue, they are often desperate and it seems like they will hire literally anyone. Some of my coworkers were amazing and some of them didn't want to be there at all-- LIHI doesn't care. Unqualified employees/employees who don't do their job are ignored while employees who go above and beyond to help residents are targeted and punished. -General lack of compassion for the population being served. If you care deeply about housing first/harm reduction, you will not find many likeminded people here. I was genuinely appalled at the way that some staff and supervisors would talk about residents behind closed doors, and even to their faces. The focus is on money. Residents who are too "problematic" (addiction, mental health challenges) are targeted for eviction and as a supportive services employee I often felt powerless to help once property management decided that someone needed to be evicted. Armed security is present at many buildings-- residents have been tased and verbally harassed. Too much reliance on law enforcement for an organization that claims to value trauma informed care. -Each property feels incredibly isolated from all others. In my entire time with LIHI I interacted with staff from other properties only a handful of times. There is no feeling of community in the organization as a whole, so if you enjoy your time or not is really dependent on the property you are placed at.</t>
  </si>
  <si>
    <t>- work can get hectic as release dates approach, but imho that's normal
- salaries not low, but they could be more competitive</t>
  </si>
  <si>
    <t>Some of the best people I have worked with.
Good benefits
Good work tech
On site a gym</t>
  </si>
  <si>
    <t>Poor salary and compensation structure
Political atmosphere 
Bad place for Sr. Sales Reps
No regular salary adjustment</t>
  </si>
  <si>
    <t>Good distribution and service area
Products</t>
  </si>
  <si>
    <t>Poor leadership, changes in quotas, restrictive allocation to clients in need.
HR is horrible and doesn't support the employee concerns</t>
  </si>
  <si>
    <t>There is an intent to drive work life balance. This they do an OK job at.</t>
  </si>
  <si>
    <t>Lack of Executive Leadership creates lots of confusion. The relationship of the leadership and the Board of Governors is very contentious.</t>
  </si>
  <si>
    <t>-Clunky IT systems and so many workarounds its hard to keep track
-Contradictory pressures to meet call completion and turnover targets VS doing the best you can for clients
-Contradiction between emphasising employee Wellbeing and Disciplinary measures for illness or absence
-Really poor opportunities for progression (As voiced by many longstanding employees). Charity tends to recruit externally for management roles</t>
  </si>
  <si>
    <t>Standard benefits package, nice bonuses, kind coworkers</t>
  </si>
  <si>
    <t>Pay is very low, management is very controlling, more work than comparable firms, high turnover, benefits could be more competitive, no merit based promotions</t>
  </si>
  <si>
    <t>New technology and ample parking</t>
  </si>
  <si>
    <t>Too much dead wood. They get shift among departments. Mgmt and HR know it but are risk adverse. Others have to carry their load</t>
  </si>
  <si>
    <t>SHC has good 401k match</t>
  </si>
  <si>
    <t>The overall enviroment is stressfull. Lab technicians in some facilities was poorly trained and a lot of them have no licence, and there's almost no concequence when the lab techs did sth wrong. It is very unresposible and dangerous for pathients.</t>
  </si>
  <si>
    <t>Great people, good opportunity for interns to lean lot's of skills in short amount of time</t>
  </si>
  <si>
    <t>Company is run by interns, horribly underpaid, bad management, valuable people don't stay in the company because the money they get offered after the internship is a joke, employees and interns are being treated as enemies</t>
  </si>
  <si>
    <t>Multicultural environment, Opportunities of Advancement &amp;amp; Room to grow within</t>
  </si>
  <si>
    <t>Long hours, compensation is on the bottom half of the range, schedule moves a lot</t>
  </si>
  <si>
    <t>Benefits available at the time were good
Company lunches some times</t>
  </si>
  <si>
    <t>Disorganized 
High turnover 
Unclear business goals
Favoritism
False promises
Shady business practices
Unprofessional HR team- some HR team members would go around gossiping about private conversations</t>
  </si>
  <si>
    <t>Community, Work-life-balance, Global, Longevity, Diversity, Friends</t>
  </si>
  <si>
    <t>Lower than average salaries
Silos
Slow to adopt
Transparency</t>
  </si>
  <si>
    <t>I can‚Äôt find pros in here</t>
  </si>
  <si>
    <t>Always changes, the boss no direction, the plan just went a few days, always imagine the company is high tech company</t>
  </si>
  <si>
    <t>Young culture! Coworkers are fun to work with.</t>
  </si>
  <si>
    <t>Only care about gross profit. Will prioritize patients with better insurance over patients with Medicare‚Ä¶ if you are okay with throwing away your morals and turning a blind eye to sick children, this is the job for you! 
Management has no idea what does on day-to-day and does not provide resources for success, yet expect you to hire nurses while lowballing them LOL. They also grossly underpay you during the ‚Äútraining‚Äù period.</t>
  </si>
  <si>
    <t>Good mission and wonderful donors</t>
  </si>
  <si>
    <t>Lower average pay, crazy hours, benefits could be better. They claim 8 hr shift but it ends up 10-12 hrs 5 days a week.</t>
  </si>
  <si>
    <t>The people are what make the place worth working at.</t>
  </si>
  <si>
    <t>The management and the company itself does not care about the people, whether it be the patients or its workers.</t>
  </si>
  <si>
    <t>You do everything so you learn and know a little bit of everything.</t>
  </si>
  <si>
    <t>You do everything so you are responsible for everything as well. From teller work to management tasks.</t>
  </si>
  <si>
    <t>Free to conduct at your own pace</t>
  </si>
  <si>
    <t>Working with seniors and older adults is really rewarding. This is the only good thing about being employed with Sequoia Living.</t>
  </si>
  <si>
    <t>Toxic management, who belittles POC staff. White privilege runs deep in this organization and ageism is deeply embedded in their day-to-day practices treating young people as less than.</t>
  </si>
  <si>
    <t>There is nothing great about this company!</t>
  </si>
  <si>
    <t>The employees are unfairly paid compared to other staffing companies. Management 100% expects you to love your job  and stay with the company forever.</t>
  </si>
  <si>
    <t>- Transparent company
- Good attitude people 
- Learned many things from this company 
- Great teamwork!
- Amazing culture ! 
- Love the office vibes!</t>
  </si>
  <si>
    <t>Thailand team has changed new MD and she becomes very awful ü§¶üèΩ‚Äç‚ôÄÔ∏è , No manner and definitely no empathy ! She‚Äôs gossiped people behind their back including me.
Reviews for separate topics 
1. MD planning skills 
&amp;gt; Never listen to the teams
&amp;gt;Demanding but never show how to do and complaint most of time , 
&amp;gt;Disturbing during the work that she just gave to us , to do another work 
&amp;gt; She gave you fake compliments
&amp;gt; Stick to the plans that doesn‚Äôt work
2.Her attitude for organization 
&amp;gt; She cares work 100% Human 0% 
&amp;gt; Over work staff , no mercy for them 
&amp;gt; Supporting team skills, Zero!
3. Her intelligence 
&amp;gt; She‚Äôs smart but not professional 
&amp;gt; Leader skills. Zero
4. Judgement
&amp;gt; Judging other people works without reason 
&amp;gt;Very close minded person to listen for someone else who knows better</t>
  </si>
  <si>
    <t>Pre-IPO bank based in San Francisco</t>
  </si>
  <si>
    <t>1. Varo called themself a fintech but they are nothing but a regional bank, penny-pinching, and slow to move. 
2. Varo claims to have more than 4 million customers but a very small portion of it is daily active. Avg customer account balance is in double-digit and most are $0, Their target customers are unbanked and low income, while its a noble idea to provide financial services to this segment, but there is a good reason why large banks avoid this segment. Its too expensive and doesnt contribute to profit. Unfortunately, people with $0 struggle with daily expenses, and they cannot use bank's profit-making products like lending. Varo will never go profit, it's the VC's money that keeping it afloat far now once that dry's up then it is destined to sink. Varo right now makes revenue through ATM fees, they leech these poor people. So if you are thinking that its the next Chime then it's not. Bay Area has enough fintech startups, this is not the one.
3. Other new banks dont have a bank charter, they invest in company's growth and making great products. Varo claims that bank charter is their strength but its not, they spent more than $125 million of VC money to get this charter and now they are regulated like any other bank which is expensive. I think they should have not got the charter so early. SOFI got the bank charter 12 yrs after getting founded, for the first 10 yrs their focus was user growth.
4. Varo compares itself with SOFI and valued its stock at $7.88 but SOFI is 8 times bigger than Varo and is profitable, SOFI's stock is $6.5 (Aug 2022). Money Lion stock is $1.25 and they are 3 times bigger than Varo, I think Varo is a penny stock. I will short Varo if I can.
5. Varo uses diversity and inclusion only in its marketing, in my 6 months there, I have not seen a single person of color. Just check their CEO, CPO, CMO, its a complete whitewash. Having few Chinese and Indians in a Silicon Vally company does count.</t>
  </si>
  <si>
    <t>Some cool clients.
Opportunity to learn quickly if you fall under the right manager.
Good digital offerings.</t>
  </si>
  <si>
    <t>Incredibly top heavy environment. Understaffed at lower levels. Opportunity seems to lessen as you progress. Promised opportunities, such as working abroad, are much more difficult to achieve than let on. Training and development is not as promised. Expectations are way too high. There is no work life balance and the stress level is very, very high. Management is very stingy and doesn't take into account the well-being of junior staff. Would definitely not recommend it to anyone SAE or under.</t>
  </si>
  <si>
    <t>The pay is good. You earn an hourly wage as well as commission. The product sells itself most of the time.</t>
  </si>
  <si>
    <t>Commission can bring out the worst in people. Management did not do a good job of keeping things fair. Let employees stay in high volume sales areas all day and not allow a fair rotation of sales.</t>
  </si>
  <si>
    <t>Each program office at DOE has its own culture, some are much better than others. Do your homework to avoid heartache.</t>
  </si>
  <si>
    <t>Some managers are extremely hostile and disrespectful towards veterans.</t>
  </si>
  <si>
    <t>If you work hard good money to be made remotely</t>
  </si>
  <si>
    <t>Specific to my experience with this company, after 3 years not catching the virus, I caught covid, the last day was a Thursday so I was very ill from it. One workday Friday ,I sent an email that apparently they never got or just didn't respond to. when I tried to send another email, I was apparently locked out of my work email. After 3 days I received by my private email return all equipment .</t>
  </si>
  <si>
    <t>Company has a large portfolio of products to sell.</t>
  </si>
  <si>
    <t>Where can I start...
-Toxic Work Environment(which is fostered by the owners)
-Zero respect for employees from the owners
-Antiquated systems-no clear, accurate reporting to analyze business sales/inventory
-Owners only focus on top 2-3 retailers and letting others shipping performance be what it is
-Management heirarchy is not followed or respected which adds to the toxic environment at every level. The only person/opinion that counts is that of the 3 brothers. Since that is the case, they should not bring people in with position titles.
-HR is completely ineffective. Only a mouthpiece for the owners. Pays lipservice to all but does NOTHING to improve the culture. Guess that's because that's how the owners want it.</t>
  </si>
  <si>
    <t>Fast-paced, casual workplace(if you like this), opportunity to move up job titles if you want to, there are some extremely knowledgeable individuals here to learn from.</t>
  </si>
  <si>
    <t>Slow career growth, moving up a job title does not equal a pay increase, poor support from upper management in a team lead role, they hire from anywhere and everywhere, no matter background and it made closing loans very difficult, in my time there I saw many consequences of hiring so many unqualified people. The temp agencies they work with also need to do a better job vetting people, I don't blame Nations for the temp agency sending them a lack of talent and collecting a paycheck on it.</t>
  </si>
  <si>
    <t>I cannot think of one.</t>
  </si>
  <si>
    <t>300‚Ç¨ monthly pay, one banana a month.</t>
  </si>
  <si>
    <t>Residents. Getting to know the residents.</t>
  </si>
  <si>
    <t>Lazy, low skilled workers. Untrained, off the the street workers handing out meds to residents. 
PSWs run the show. Responsible for entirety of building. Management sits in the office all day.
Will destroy your mental health</t>
  </si>
  <si>
    <t>Still trying to figure it out.</t>
  </si>
  <si>
    <t>No work/life balance.
Minimal pay increase.
Lack of proper training.
Upper Management not in touch with processes.
No loyalty to employees.
The company tells you how to answer YOUR review for the company!!!</t>
  </si>
  <si>
    <t>Wonderful people to work with, great benefits, very mission-focused team</t>
  </si>
  <si>
    <t>Job security is lacking here (although they are open and transparent about this on the front end) and the environment is very fast-paced. Be ready to start at a sprint!</t>
  </si>
  <si>
    <t>Easy workload
Normal retail duties
Entertaining customers</t>
  </si>
  <si>
    <t>Low pay
Poor management
Communication issues
Minimal benefits
Limited opportunity for growth 
Small minded superiors (corporate included)</t>
  </si>
  <si>
    <t>Not much good in anything</t>
  </si>
  <si>
    <t>Salary structure is too low.</t>
  </si>
  <si>
    <t>Exposure to an exciting technological environment.
Colleagues with varied experience and backgrounds. Teams are multinational, conference calls are a tool to be mastered if one wants to succeed in the office environment.
Nice perks - company car, insurance. Team events held in nice locations - money is not the issue.
Salary was good for the position (while not extraordinary).</t>
  </si>
  <si>
    <t>Company is ill-equipped, technically speaking, for staff to carry out their tasks satisfactorily; budgets are prepared in convoluted Excel files. No investment or actual thought has been put to practice to evolve the finance function to match the overall company aspirations.
Finance teams work with a support accounting team that is based in US, so there is a bad match when you have to partner with the latter team. When they make errors, it is difficult to correct them, as they have a different management and won't respond to anyone but.
No technical training for staff.
While interviewing, was sold a different role than the actual one, so expectations slowly turned out to not match reality of the position.
Environment is slightly toxic, with office politics consuming a lot of time and energy.
Staff have a dual reporting line, one is to their finance leader, while the other, more dotted but no less real, is to the country manager, and therein lies the conflict.</t>
  </si>
  <si>
    <t>Most supportive group of people.  They make you stay in tune with your contribution and its impact on the company.</t>
  </si>
  <si>
    <t>Because of the volatility in the auto industry,  they are a lean company- meaning don't expect coffee, snacks, or administrative help.  You do for yourself.  It was a shock when I began, but I have to respect the ingenuity.</t>
  </si>
  <si>
    <t>challenging technical environment, lots to learn and interesting technology</t>
  </si>
  <si>
    <t>No oversite of mid level managers.   if they don't properly allocate resources the staff gets canned.   No support with the substantial learning curve.   Mentoring is a joke</t>
  </si>
  <si>
    <t>Great community! Everyone is super nice and often went out together for lunch and there was a lot of company wide events.</t>
  </si>
  <si>
    <t>Often times than not, I found myself working very late hours as I felt pressured by my supervisors to stay on.</t>
  </si>
  <si>
    <t>Decent pay for the job</t>
  </si>
  <si>
    <t>Management was not good at all.</t>
  </si>
  <si>
    <t>Coworkers were a delight to work with.</t>
  </si>
  <si>
    <t>Management can bring the company down with their favoritism.</t>
  </si>
  <si>
    <t>Good training, great software, nice people</t>
  </si>
  <si>
    <t>50-75% travel could be higher pre-covid, opportunities to prove progression could be tenure rather than ability based</t>
  </si>
  <si>
    <t>- Great location - Great employee benefits (though decreasing) - Amazing N+1, micro-management free - Had the chance to interact with some world-class specialists in their field - Above average salary - Good Work/Life balance</t>
  </si>
  <si>
    <t>- Complete disconnection in between the C-levels and the reality of the market - Several incompetent "head of" and managers that the board will never challenge due to cronyism - Constant internal power/political war. By far the most political company I worked for - Most departments are working in silos and hate working with each other - Green and pink washing overall - Boomer mindset, old white male know it all - Discovering a colleague is on sick leave due to burnout is another Tuesday... total HR mismanagement - Hard to understand how such a decaying company is still so successful; they are very lucky</t>
  </si>
  <si>
    <t>I have yet to find anyone that has a "pro" to share. I certainly don't have anything.</t>
  </si>
  <si>
    <t>I was very excited to start working for this company. On the outside looks great. The General Managers are angry bullies. The staff turnover is incredible, the front door is like a turnstile.</t>
  </si>
  <si>
    <t>Large company in San Diego
Intelligent, hard working employees
Support given to employee groups interested in different areas</t>
  </si>
  <si>
    <t>Leadership has been trending downwards for a long, long time
An incredible amount of terrible managers across the company. Some are incompetent in the work...at worst, some are downright toxic and awful. Company somehow values this.</t>
  </si>
  <si>
    <t>- multiple APAC leadership vacant for 9 months - hire the right person is important but to management has no contacts or talent list to recruit
- no Customer Success function for most customers in region but the one guy in the job gets paid on all of your work
- poor collaboration between teams and many people doing minimal work - if you are in Sales, you have no support. Strong focus on remote distributed workforce so team culture is weak
- there is a lot of people focused on themselves and KPIs without thinking about the customer or company goals
- feels teams like order ops/deal desk unhelpful. They tell you how to sell and what to say to your customer but have no idea about actual sales
- no HR in region for 1yr
- strong ultra-left leaning ideology</t>
  </si>
  <si>
    <t>Smart and capable people in the team</t>
  </si>
  <si>
    <t>Lack of visibility over future career in the firm</t>
  </si>
  <si>
    <t>Enjoyed management‚Äôs hands-off approach. Allowed me to explore solutions in a creative manner. ‚ÄúOne size fits all‚Äù does not exist with this company.</t>
  </si>
  <si>
    <t>High workload that was extremely involved.</t>
  </si>
  <si>
    <t>I really enjoyed working here, and honestly would love to work at Valencia again in the future. It's a team environment but in the good sense. In my experience everyone really did work together and look out for each other. My supervisors were nice, helpful, and genuinely interested in seeing that our days were made less stressful. The pay was fair for the work. My coworkers were really some of the best and made the days a lot more fun .</t>
  </si>
  <si>
    <t>Unfortunately, there were very limited hours. Even most professors are only given part time hours. It just isn't enough to sustain yourself on, and a lot of my coworkers had second (or third) jobs to try and make ends meet. 
This is also not the place to be if you're looking for advancement opportunities. It's not that it can never happen - I was one of the few that actually WAS promoted to a higher paying position - but it's very rare. In general they prefer to hire student workers through their work study program, which I find rather scummy, if I'm being honest.</t>
  </si>
  <si>
    <t>Solid Sr. Management that empower people to do their work and recognize them for achievement. Tolerance for making mistakes and learning with it. Competitive compensation and benefits package. Lots of opportunities to grow.</t>
  </si>
  <si>
    <t>In constant transformation which requires high level of adaptability from employees.</t>
  </si>
  <si>
    <t>Benefits, competitive wage, some nice people</t>
  </si>
  <si>
    <t>Literally terrible work environment. 5 sick days for the whole year and then every time you get sick after that you must provide a note or you'll get a write up. Your stats/bonus all depend on your sales. Despite working in loyalty/customer care. They also track how many times someone calls back within 1 week of speaking to you. If they do, it will impact you negatively. Of course you can see into the future and solve issues before they happen! It will also impact you negatively if someone cancels within 60 days of speaking with you. And of course, if you have to cancel someone too. They only want you to sell phones. They will put you on a "performance plan" you have to meet if you are not hitting your stats, or be terminated. Even though the stats are only supposed to "encourage" you to get additional bonus pay. It's for them. Not you. This prompts other agents to feel pressure to sell plans and has agents lying through their teeth about phones they're sending to clients/plans they are being given which results in later escalations and call backs... usually once it's too late. Just horrible.</t>
  </si>
  <si>
    <t>Pay hours benefits and flexibility of shifts</t>
  </si>
  <si>
    <t>Managers are not trained and mainly are clueless of procedures</t>
  </si>
  <si>
    <t>Treats employees well, politics were at a minimal</t>
  </si>
  <si>
    <t>Too many projects happening at once</t>
  </si>
  <si>
    <t>Great pay, very good benefits.</t>
  </si>
  <si>
    <t>None that I experienced while working here.</t>
  </si>
  <si>
    <t>Most of the people are great to work with. I think the owner does good things and is good to her employees.</t>
  </si>
  <si>
    <t>I left a review of how I ask off it was for my daughters wedding. Then it was answered I could have used my PTO sick time etc. I had all this time. Legally I could have left because the email sent out was for working on Saturday it never said to work on Friday afternoon. Also regarding the employee that sleeps on the job was never mentioned. Read the handbook pg80 the last sentence. To the one that answered my review this proves it depends on who you are. You should also check the AR department 3 major companies would be leaving 84 Lumber if they knew how their accounts were handled. This could be a huge problem for 84 Lumber. Also you should be able to respond after your review. By the way if you need proof of any of this I have it.</t>
  </si>
  <si>
    <t>Free food, and great friends</t>
  </si>
  <si>
    <t>This place does no care for students at all, with out them this place wouldn‚Äôt even exist. We are just disposable to them. They work us like crazy have no care for our school work. They expect 110% every single day no matter what, your school schedule is completely ignored. The hire ups and completely unprofessional but expect you to be with us insane.</t>
  </si>
  <si>
    <t>PTO, Work from home, Summer Fridays</t>
  </si>
  <si>
    <t>Management, HR, Culture, Pressure from leaders</t>
  </si>
  <si>
    <t>The pay is the only good thing</t>
  </si>
  <si>
    <t>Too much work no time for family</t>
  </si>
  <si>
    <t>The company actually supported employee and their dependents in COVID tough time by arranging Oxygen, Beds, etc. 
They also availed the option to get the next 6 months in advance who are affected with COVID. They were really supportive. I appreciate it.</t>
  </si>
  <si>
    <t>If you talk about the job role. It depends on the team in which you will be enrolled. Not all teams are good. In my team leads even don't know how to git push and all. He will simply dump the work on you if he is not able to do that. Leads are enjoying their life like a government job. As of now, I haven't got any support from him related to the codebase or anything instead I am the one who guides him.
Hikes are very less. This is one thing everyone feels here. No goodies or anything you can expect here. They have annual promotion criteria. Like other few companies have quarterly promotion as well.</t>
  </si>
  <si>
    <t>Not for me, but others may think that it's beneficial not to have a good, strong company culture, so one can hide. Good for introverts.</t>
  </si>
  <si>
    <t>- geographically fragmented teams (lots of devs from India, US and EU too) and teams are not co-located at all, we had timezone issues all the time
- company has no processes, it's driven by micromanagement
- no one really cares about the quality of the code, or its maintainability; the attitude is that it just must be done as soon as possible
- not too many seniors I met, only juniors and mediors, even if they call themselves senior
- they do not take seriously any Scrum/Agile methodologies, I did not have any retrospective meeting for a year!
- if you are good, you're going to be frustrated by the low quality code they produce</t>
  </si>
  <si>
    <t>- You'll meet tons of other people who you'll make friends with
- You'll get experience in many different aspects in and out of the warehouse
- Surprisingly the healthcare options are great</t>
  </si>
  <si>
    <t>- Everything else. I know it looks enticing being a newly grad or you need a job... the website shows robots, clean warehouses, friendly faces, but it's not even close. There are no robots, forklifts are old and falling apart, the amount of politics is astounding, and the pay is not competitive. 
- Favoritism. As others have said, if you're not a favorite, it doesn't matter how much knowledge or experience you have, you're not moving anywhere.
- You will work 50-60 hours a week until you're burned out.
- I've watched entire project management and warehouse teams for a market resign or find other jobs.</t>
  </si>
  <si>
    <t>pay was fantastic 
worked with school schedule
enjoyed it for the most part</t>
  </si>
  <si>
    <t>Self checkout work
wouldn't give time off</t>
  </si>
  <si>
    <t>Learn a lot as a lot is required</t>
  </si>
  <si>
    <t>Bad bad bad bad culture</t>
  </si>
  <si>
    <t>Paid handsomely to do absolutely nothing all day for several months. Also sat next to some of the nicest Capital Market Technology PM ladies I have ever met. Self-initiated study led to my learning vasts amounts of knowledge on US and Canadian regulations, particularly Dodd-Frank Act which I will now transfer to my next contracting gig. Hours were also quite stable.</t>
  </si>
  <si>
    <t>Was hired to be a senior Project Management for a massive, company-wide US regulatory initiative. During interview and first day, was again advised I should expect loads of work and travel. Despite asking daily for an opportunity to work on anything (even if not meaningful), I received little to no direction yet whenever I was proactive, I was usually reprimanded for doing something not asked for. My manager and his program manager lacked collaboration and communication skills. It was the first time I met a lawyer who was so in-methodical and disorganized. The entire project group faced constant criticisms from all business partners daily as a result. Program Manager was openly hostile in meetings with business partners and other PMs. I was kept on-board for several months before being let go for "not meeting work requirements".</t>
  </si>
  <si>
    <t>Small enough to make an impact.</t>
  </si>
  <si>
    <t>Poor leadership and lack of respect.</t>
  </si>
  <si>
    <t>Some good people work there
Company van</t>
  </si>
  <si>
    <t>Stressful
Blame Culture
No diversity respect (during covid and since I was in furlough, the made me use 10 of my holidays and when I asked my line manager that I do not use holidays for actual holidays but for days to go home and visit my family as I am foreign, I had been told that this is the company's policy).
Fake promises to keep you.
Management is poor and always look to blame people on ground.
Poor communication between departments that causes serious problems.
Loads of workload.
Really I could write pages more here.</t>
  </si>
  <si>
    <t>The only pros that were present are now gone as most of the forward-thinking staff were left unheard and found better opportunities elsewhere.</t>
  </si>
  <si>
    <t>- Fear of rats as there were over 20 in the warehouse
- Absolutely no room for growth, managers will keep you where you are by doing mindless repetitive tasks
- Direct managers are not on your side, they will take all credit to make themselves appeal to the owner
- Nothing to learn as most of the upper managers do not know how to use excel nor have an education
- You will not be paid even remotely close to industry averages
- Proposals to better the company will not be considered and you will not be heard
- Managers will berate you and call you names
- Managers act as if they are doing important tasks, but are actually just browsing their phones
- False promises of career advancements, wage increases, work from home options
- Gossip across the entire toxic company, rooting from upper management
- Everything must be taken with a grain of salt, managers will refute any past promises by twisting and cherry-picking their words/offers
- Forced office culture, where rearrangements of desks and seating arrangements occurred often and obnoxious techno music was played for 5+ hours straight
- Micromanagement even when tasks are elementary
- Extremely high turnover
- Managers always choose the options that further decline revenue due to a lack of experience
- Air conditioners were never on to save costs even when temperatures hit above 30 degrees, warehouse and office became ovens</t>
  </si>
  <si>
    <t>Yearly Paid Annual Vacation with free two way Airline Tickets plus Housing and Company Car provided.</t>
  </si>
  <si>
    <t>Racism, Culture Indifferences, Long Hours of Duty, No Incentives for my position.</t>
  </si>
  <si>
    <t>good co-worker and benefit package</t>
  </si>
  <si>
    <t>management can be narrow minded</t>
  </si>
  <si>
    <t>a lot of hours 
could call for help easily when in training</t>
  </si>
  <si>
    <t>Not flexible 
rude management 
over scheduled for part time position</t>
  </si>
  <si>
    <t>They pay on time and that's it</t>
  </si>
  <si>
    <t>So many cons they don't fit here ...just inhumane workplace</t>
  </si>
  <si>
    <t>money was great. Medical insurance not very good, could be a lot better....</t>
  </si>
  <si>
    <t>60 plus hours a wk., all night driving, could not get off nights tried rapidity for shift change, no Luke</t>
  </si>
  <si>
    <t>Good atmosphere and you get all the support you need. Working with BP I found that the training is quite extensive and they do not hold back on spending on developing their employees.</t>
  </si>
  <si>
    <t>Sometimes there isn't much to do.</t>
  </si>
  <si>
    <t>√ìtimos benef√≠cios, equipamentos extremamente bons.</t>
  </si>
  <si>
    <t>Sal√°rio muito abaixo do que o cargo exige, lideran√ßa muito pouco participativa no trabalho em campo.</t>
  </si>
  <si>
    <t>Co-workers are great, the road home it even better.</t>
  </si>
  <si>
    <t>Where to start..... Possibly the most haphazard way to run a business I've ever seen. During the pandemic and making money hand over fist they decided to recruit for fun, and did so by offering a truly hybrid approach to working, without a single thought for what the landscape would look like post Covid, that has lead to the company being obscenely over recruited and forced redundancies, that mess has to sit with the SMT. Pretty distressing being made redundant, my call lasted 8 minutes, I was told to shut my laptop, that was they last time a human being spoke to me at AO. They love to talk about culture, the CEO wonders around thinking the culture is fantastic..... it might be in Bolton, but he should try getting out into the network and look at the reasons that attrition rates are over 75%, employed drivers 110%. You've got a logistics network management team that are blatantly uninterested in people, just look at the way they pay their self employed drivers! If your route is planned at 10 hours, it's likely to take 13, but you only get paid for the 10, they caveat that with if it takes 7 you get the 10..... that never happens by the way. If you sift through the reviews you'll see many of them aren't favourable at all, best way to combat that.... Ask people to write good reviews.... but only those they know to be happy. They don't trust their employees, hybrid working, was any 2 days a week in the office, that changed to 3 days, of which Monday and Friday would be 2. How else do you say "we don't trust you, without actually saying, we don't trust you?!"</t>
  </si>
  <si>
    <t>Good HR support, coworkers are supportive</t>
  </si>
  <si>
    <t>Extremely meeting heavy culture, inadequate staff/resources, Executive Leadership give directives that don‚Äôt make sense and employees suffer for it.</t>
  </si>
  <si>
    <t>-Sometimes you have to work extra hours
-You have to deal with some customers' mind changes</t>
  </si>
  <si>
    <t>Nette Mitarbeiter, insgesamt faire Vorgesetzte</t>
  </si>
  <si>
    <t>Amerikanisches Management, sinnlose Reporting Aufgaben</t>
  </si>
  <si>
    <t>people oriented, good salary, great management</t>
  </si>
  <si>
    <t>long hours of work, work-life balance is not easily met</t>
  </si>
  <si>
    <t>- Sales required are too high, even with the trend that shows sales are slowing down
- Not fair how other branches/people don't get in trouble for breaking the rules, but you do
- Too much politics!</t>
  </si>
  <si>
    <t>heel chill werk- vereist geen intellectuele inspanning</t>
  </si>
  <si>
    <t>rader in machine, geen ruimte voor persoonlijke zelfontplooiing, nauwelijks evaluaties en feedback</t>
  </si>
  <si>
    <t>The fact that I left</t>
  </si>
  <si>
    <t>The people at the bottom did all of the work and were not compensated for it.</t>
  </si>
  <si>
    <t>Competitive salary, great team work, supportive management. Free online training/Inservices. Great retention rates</t>
  </si>
  <si>
    <t>Recent owner and office location change.</t>
  </si>
  <si>
    <t>Stipendio, prestigio del nome che ha un grosso valore sul cv</t>
  </si>
  <si>
    <t>Non c'√® orario. Telefonate a qualsiasi ora.</t>
  </si>
  <si>
    <t>CE
RTT
Bonne ambiance
tr√®s bon endroit pour apprendre et se d√©velopper</t>
  </si>
  <si>
    <t>Rien √† dire sur l'exp√©rience que j'ai eu</t>
  </si>
  <si>
    <t>Role Flexibility, Smart Coworkers, Hard Work</t>
  </si>
  <si>
    <t>Politics, Unclear Strategy, Organization Clarity</t>
  </si>
  <si>
    <t>Less burden, commited to shift timing, managers are well trained</t>
  </si>
  <si>
    <t>Poor pay rate and no career advancement</t>
  </si>
  <si>
    <t>There‚Äôs nothing particularly good to say</t>
  </si>
  <si>
    <t>Terrible company avoid. Management would not visit site offices for 6 months. Bit of a sink or swim attitude when I started and had to get my footing quickly.</t>
  </si>
  <si>
    <t>Helping small business have a voice</t>
  </si>
  <si>
    <t>District manager is a joke. First mistake not introducing himself. Second insisting a female to drive in the same car with him. Third, smoking when you informed him that you are Asthmatic. Fourth, going in with urgency and leaving so quickly is disrespectful. Fifth, It‚Äôs all amount the money! Sixth, Someone needs to inform them that it takes 40 hours to learn their spill, so their need to pain folks for that.</t>
  </si>
  <si>
    <t>Strong pension and ok salary.</t>
  </si>
  <si>
    <t>You rarely feel like you‚Äôve succeeded and hard work often goes unnoticed. 
Experience and market expertise can be completely ignored.
I‚Äôm sorry to say - if you want to progress beyond a certain level, you‚Äôll need a politics degree which makes it a job, not a career.</t>
  </si>
  <si>
    <t>Learned a lot about global financial markets, derivative products, and their pricing mechanisms</t>
  </si>
  <si>
    <t>It was a very toxic work environment.</t>
  </si>
  <si>
    <t>Health insurance, flexibility, my original boss</t>
  </si>
  <si>
    <t>Bad pay, poor communication, drama</t>
  </si>
  <si>
    <t>The people you'll work with.</t>
  </si>
  <si>
    <t>Employee turnover is insane, very few people make it past 3 months. You apply for one job and they'll have you doing something else. What a joke.</t>
  </si>
  <si>
    <t>Confort, flexibilit√©, t√©l√©travail, bons avantages, opportunit√© professionnelle</t>
  </si>
  <si>
    <t>Le copinage, poor management, pression injustifi√©e au marketing</t>
  </si>
  <si>
    <t>I've made lifelong friends from my time working there.</t>
  </si>
  <si>
    <t>Be aware of internal politics. If you want to survive long-term, you need to be on the right side of certain influencers, especially when the inevitable downsizing reviews occur.</t>
  </si>
  <si>
    <t>Excelente empresa para trabajar si buscas estabilidad, zona de confort y quedarte en la misma posici√≥n durante un periodo largo. Seguridad laboral y siempre buscando beneficios para los empleados</t>
  </si>
  <si>
    <t>Estructura organizacional muy est√°tica, nulo crecimiento profesional en compensaci√≥n y escala dentro de la organizaci√≥n. Decisiones subjetivas basadas en criterios personales de pocas personas en la compa√±√≠a (especialmente en decisiones financieras)</t>
  </si>
  <si>
    <t>Work from home roles available</t>
  </si>
  <si>
    <t>Some roles offer no support, no options of working up</t>
  </si>
  <si>
    <t>it was good and not too stressful</t>
  </si>
  <si>
    <t>just hated the rotten fruits</t>
  </si>
  <si>
    <t>Good exposure to different elements of portfolio management</t>
  </si>
  <si>
    <t>Chief Investment Officer (CIO) is a contemptuous and obnoxious (in his own words) bully. Culture is shocking with 1980s work practices the norm. Discrimination on both mental health and parental responsibility grounds, with HR being totally inept at protecting the vulnerable. Bullies are protected by the business. Do not work here- it will destroy your mental health. MUFG Asset Management pays well below market standard and there is no upside. A sinking ship.</t>
  </si>
  <si>
    <t>Salary on time, not perks and commited expenses incurred by the employee.</t>
  </si>
  <si>
    <t>Join it and you may write thesis on the segment. RIP management's common sense.</t>
  </si>
  <si>
    <t>-Pretty decent benefits from medical to retirement plan. PTO accrual seems fair. 
-nice building
-Barbara and Jonathan! (If they‚Äôre still there). Takes great care of you, looks after the company and super compassionate and empathetic. Just fun and great energy. Jonathan is quick to get you what you need or help in anyway he can. They are just awesome people.</t>
  </si>
  <si>
    <t>-NEPOTISM: everybody is related somehow. HR tries to keep it in check but some people slip in the same department, unfairly might I add (no real interview conducted). 
-management team focuses too much on production numbers that creates a toxic environment among the workers, accuracy goes down because everyone is too busy trying to go faster than the person next to them. This is in regards to the laboratory. I can‚Äôt speak for the other departments. 
-good luck trying to move up past a lab tech. A lot of people don‚Äôt last simply due to the verbal abuse and toxicity just from the lead. They don‚Äôt train you further than what your job tasks are because of their ‚Äújob security‚Äù (they can‚Äôt replace me if I‚Äôm the only one that knows how to work this machine).
-the ‚Äútyrant‚Äù mentioned in previous reviews no longer works there but there‚Äôs probably another tyrant in the works. Don‚Äôt know if it‚Äôs a power trip from recent developments in the company but there are a lot of choices made and head turning without consulting anyone else in the management team. 
-In an attempt to get the lab personnel to be more motivated to do better in their job so the company can thrive financially there was a meeting to go over goals and the ‚Äúbigger‚Äù picture. During a debate about the importance of employee moral, the CEO inadvertently said ‚Äúemployees don‚Äôt need to be happy in order for the company to make revenue. Look at Amazon‚Äù.  Take that as you will. 
-apparently people could sleep their way to the top.</t>
  </si>
  <si>
    <t>I don't have any pros to share.</t>
  </si>
  <si>
    <t>I was let go without any warning or explanation, improvement plans, or coaching. Other comments have mentioned this and I experienced it first hand, people can be very disposable. At least, that was my personal experience.</t>
  </si>
  <si>
    <t>fantastic atmosphere in the office from day one was made to feel welcome and you get all the training and help from your line manager and senior managers, first company that I have worked for were you can be in direct contact with the MD who will also help and give you support in fact there are many days that he will even cook luck for everyone which is great.</t>
  </si>
  <si>
    <t>for me the only Negative and this is personal for me was when i moved the travel just became to much or else i would still be there.</t>
  </si>
  <si>
    <t>location salary benefits flexible schedule</t>
  </si>
  <si>
    <t>Not so friendly people and favoritism.</t>
  </si>
  <si>
    <t>To be fair, benefits were good, there were quite a few company parties through the years and there were short massages each week for those who wanted them</t>
  </si>
  <si>
    <t>Where to start? The family who owns this company are a group of manipulative, selfish people who look down on others and have a silver spoon in their mouths. At first I was excited about my career here, though quickly came to realize that vertical movement was entirely dependent on how much you could suck up to the bosses, how loud you were, and how much you would let work intrude on your personal life. I've seen people describe this place as an "environment for self starters" and "not for those who are lazy" but that's just another way of saying they will use and abuse those who put up with it, and those who want to be treated with respect are fired. I saw dozens of people go through the company like a revolving door. The owner refuses to censor himself and would make lewd remarks on a daily basis to the point HR had to follow him around. He'd make a show of having employees of minority groups for his own optics at company parties and on calls, while also forgetting their names on regular weekdays. I know for a fact that the female employees who I worked with made 20% less than I did as a new hire. Many of their senior employees openly admitted to me that they were racist and/or sexist, patting me on the back for that previous fact that I was making more than my female Indian coworkers and saying there's nothing wrong with it. Management was aware of this and turned a blind eye to it. In addition there were a handful of scandals through the years of their favorite employees needing to be bailed out of jail, and the owners would personally step in to sweep it under the rug. As mentioned in other negative reviews, there is an environment of "you can do it if you put in the effort" initially but in reality it turns into a setting of passive-aggressive tension at all times, with axes hanging over peoples heads every month.</t>
  </si>
  <si>
    <t>The products are awesome and there were some really great and talented people who cared very deeply about the mission. 
The commeraderie between peers was great.</t>
  </si>
  <si>
    <t>There are so many cons! 
Let's start with the leadership team which is likely the worst part about RapidDeploy: 
The CEO is THE WORST. 
He manipulates, abuses and threatens his staff. He makes promises to customers that the company cannot uphold. He pretends to care, but actually only cares about himself. He needs to go in order for the company to succeed. He refuses to listen to the top talent that the company hires and does what he wants anyways. The staff turn around in the C-Suite is shocking, I suspect it is because nobody can work with such an ego-maniac. 
There are C-Level Execs who milk the system for their own benefit, spending all day on personal stuff while raking in huge salaries all while BSing their way through. Anyone who tries to challenge this is worked out and this is in large part of why the company is where is. 
There is a lot of nepotism. Old school friends and the like who have been hired and put into positions where they are not qualified to be. Many work at the company, earning huge salaries, while providing very little value. 
Leadership does not take any responsibility for anything that goes wrong. The way in which over 100 people were laid off was disgusting to say the least. There was a Teams call one week before Christmas, during which the CEO announced said lay-offs and was never heard from again. Not even so much as an apology. Absolute radio silence from the man who has so much to say normally was not only cowardly, but also a massive slap in the face to everyone who had been working tirelessly to make the company a success. For months and months we were told that the company is doing great. Another indication that the leadership team has no idea what they are doing.
After 100+ people were laid off with very a basic severance, the remaining company received bonuses. Very publicly at that too. This was in such bad taste. 
RapidDeploy hires people wrecklessly, and often those people end up having side-lined careers. There is very much a culture of throw8ng people at problems but then not listening to what the solution would really be. Everyone who joins is considered the next best thing, only to be sidelined by the next person. You'll almost NEVER be good enough and will likely be overlooked for new talent every single time. 
There is no desire to upskill existing talent. When approaching the management to do certain courses, they will try to talk you out of it or will try put it off. However, in interviews the approach is different and candidates are sold a dream.
When the rot started to show, several negative reviews were noted here on Glass Door. Management then went on a campaign to up the ratings, which is why there are positive reviews with similar wording. 
There are too many chief's, not enough indians. Everyone wants to be a manager with a fancy title, but not many know what they are doing. Fancy titles at RapidDeploy really glorify basic positions that should not be management level. 
After months and months of telling people not to worry, the ship took on major water and had to rid itself of over 100 employees. Over 100 families were affected by this and South African Employees are still awaiting severance pay outs. 
The fact of the matter is, stay away, they will sell you dreams, derail your career and lie to you every step of the way. Trust in management has been lost completely and it won't be long before more people leave and the doors close for good. Everyone wants to have fancy titles, high paying salaries and then make it seem like they are doing you a favor when you actually expect them to do their jobs.</t>
  </si>
  <si>
    <t>- The overall culture is healthy, active and engaging. 
- Some very smart, hardworking and genuinely nice engineers work here. This was a major benefit for me.
- CTO knows what he's doing and is of a caliber usually found in FAANG companies. I benefited enormously from working with him. 
- The turnover rate in engineering is very low, around 5% per year. 
- Two days per week in the office and 2 months per year where you can work from anywhere in the world.
- The team promotes people from within when possible. 
- Systems are of high/very high quality made by engineers who care.
- The only place I've seen that does major scale rewrites to get rid of technical debt. The serach function was a bit of a black hole and the company rewrote it six months ago. At some point 60% of the engineering team was involved. Tech debt here is taken seriously.
- CEO is a nice, approachable guy, always with a smile on his face and actively engages his employees, either 1:1 or through town hall meetings.</t>
  </si>
  <si>
    <t>- Some of the tech leads could do with leadership/people skills training- an old problem in software engineering. There is an ongoing effort to address this with training etc, and there's an engineering manager promoted from within who seems to know what he's doing
- Other than that not many</t>
  </si>
  <si>
    <t>Excellent CEO, but very tight with cash. Everyone worked super hard</t>
  </si>
  <si>
    <t>Constant pressure ‚Äî it‚Äôs a startup!</t>
  </si>
  <si>
    <t>No micromanagement at any level</t>
  </si>
  <si>
    <t>Leadership seems a bit clueless</t>
  </si>
  <si>
    <t>the job wasnt particularly complex</t>
  </si>
  <si>
    <t>management power mad and didnt know the subject matter of the job 
wages very poor 
no room for progression 
pay rises very minimal usually under rate of inflation
no investment in the contracts they run so staff are overworked and the contracts are usually lost because amey like to try and maximise profits short term instead of building the reputation of the company and winning more contracts</t>
  </si>
  <si>
    <t>Coworkers were the best. Under appreciated yet still so loyal and hard working.</t>
  </si>
  <si>
    <t>Where to even start. 
First, I am typically not a person to leave a bad review, talk badly about places or people openly on the internet, or complain about working hard. I love hard work, I value hard work, and I was so excited to work somewhere that had the same values. I am also very active in the CrossFit community and was looking forward to being a part of the very beginning and heart of what makes CrossFit, CrossFit. Unfortunately, I left feeling like an object. Less than a number. A tally on a sheet that was ultimately deemed ‚Äúoverstaffed‚Äù (yes, they had an excel sheet viewable that told you whether you were considered under or over staffed). 
While I spent the majority of my 1.5 years in my role putting up with the constant pay cuts, lack of planning, asinine performance reviews, insane overtime during the holidays, denied PTO requests, virtually no training for new hires or other employees moving around, and egotistical managers, I stayed. I told myself I was apart of something special. While they shoved us in the trenches, we all remained loyal and continued to work hard‚Äîand good. Many people were approved to continue working remotely from ‚Äúapproved‚Äù states, some even being told the approval came straight from Caity. When we were told to come back to the office or be fired, no exception was given for people with special circumstances (ie military spouse). For a veteran owned company and claiming to be so ‚Äúmilitary friendly‚Äù this disgusted mostly everyone.
 Any conversation with a higher level manager about concerns resulted in a lecture while they tried to convince you in any way possible to make it make sense‚Ä¶. and they were ALWAYS right, even when they were wrong. Every conversation was left feeling like a scorned child who embarrassed their parent in public. 
Performance reviews were basically pointless and showed no linear progression of your actual work or performance. There was virtually no feedback and half of management doesn‚Äôt even know what you do. When asking why my score went down, I was told it was still an ‚Äúexcellent score‚Äù and I shouldn‚Äôt care. ‚Äúyou should have never got the first score to begin with (from a previous manager) because it‚Äôs unrealistic for your position‚Äù was what I was told. 
The pay cuts were a huge talking point, and I somewhat understood some of the cuts post Covid. By the end, the ‚Äúcompetitive wage‚Äù they boast about was not competitive. But if you check out the prize purse for their event and athletes, you‚Äôll clearly see where all of the employee cuts went. 
I could go on forever, but what sealed the deal was when I sent my resignation, not a single member of management so much as acknowledged it. I was left on my last day questioning if they even knew it was my last day. The cherry on top was none of management said a word to me on my last day, with the exception of my shift supervisor. If that doesn‚Äôt show they literally DONT CARE about you, I can‚Äôt convince you anything would. 
I even waited weeks to post this review, thinking maybe I was crazy and every place of employment acts this way. After my first few weeks at a new job I can confidently say Rogue is the worst workplace I‚Äôve ever experienced. No one should treat their employees the way they have and get away with it. I genuinely hope their facade comes crumbling down.</t>
  </si>
  <si>
    <t>Normally get great hours lots of over time if you want it.. easy people to get along with, understanding and caring staff!</t>
  </si>
  <si>
    <t>You do get a lot of hours some don‚Äôt like that</t>
  </si>
  <si>
    <t>Pay is good that's about it</t>
  </si>
  <si>
    <t>Everything else, it was a great company to work for but the leadership destroyed all was good with the company. Too bad. Over worked and stress isn't worth the money</t>
  </si>
  <si>
    <t>The best work environment, remotely... They are so amazing. These managers are professional and down to earth. They compel you to be your best</t>
  </si>
  <si>
    <t>The pay is terrible but if you work enough OT, it'ss be alright.</t>
  </si>
  <si>
    <t>Pretty good benefits. Stayfit benefit was nice where you can get a gym membership, reimbursement plan, or a flat stipend. Healthcare wasnt bad either.
Stable job environment. Retention is fairly high and there are a lot of seasoned coworkers.
Company is stable and many product areas to try.
An obvious one, but the status that comes from working for an iconic company.</t>
  </si>
  <si>
    <t>Not as much room for promotion or growth (at least on the team I was on). People were very competitive, but the vibe was that management expected people to work with both ends of the candle burning as the norm.
While there are many product areas, my impression is that exploring other teams and trying to transfer to another is strongly discouraged. Transfering to a different division is even more of a challenge.
Not much support by management to explore areas of interest in terms of new tools or technologies. This might have been a culture trait of my team.
Lots of redundant menial work that should be automated, but no bandwidth given to work on tools for these. Also a lot of the existing tools were slow or error prone and needed to be improved or redone, but again no bandwidth given for these.
Not great at onboarding new employees in my team (I am not referring to the general NEO done by HR). Lack of training materials and outreach to integrate new FTEs.</t>
  </si>
  <si>
    <t>Nothing except the customer base who need to realize the unethical practices that will impact them. Some of them did and already moved away</t>
  </si>
  <si>
    <t>1) No work-life balance. Need to work late nights and on weekends without any shift allowance or additional compensation/benefits. Against regulation and labor law.
2) CEO is selfish, headstrong, vapes in leadership meetings, expects everyone to listen and follow whatever he says, enjoys personal praise. No job security otherwise. 
3) Employees may be asked to leave immediately without any pay towards 3 months' notice and without any severance package,  just because someone else is seen as God to help the company, no matter how the executive team and leadership would have praised you in the past. This can happen irrespective of your performance, or employment level if you question the CEO on his wrongdoings, and practices who thinks it is his family business. They don't have a place for Ethics but just ego and slavery treatment.
5) One of the newly hired executives, the co-founder also had to leave the company after bearing these immoral practices for years. You can hear numerous examples just by talking to the employees. Don't believe in wrong postings which are paid.
6) They don't care about employees and their families, but continuously push to extract more and more.
7) Employment terms and conditions are all in favor of the company. No respect for the employees or the labor laws</t>
  </si>
  <si>
    <t>Nice coworkers and a nice salary</t>
  </si>
  <si>
    <t>Fortunately there were no cons at all</t>
  </si>
  <si>
    <t>Great top leaders, CEO upper leadership</t>
  </si>
  <si>
    <t>Vision does not translate down, company is slow to innovate or stay ahead and competitive. They do not utilize people to their full potential.</t>
  </si>
  <si>
    <t>~70 minutes of paid breaks per 8 hour shift. Everyone is friendly. Production goals are realistic but require effort. $18/hr for unskilled labor is pretty good</t>
  </si>
  <si>
    <t>Required safety glasses. Get your own pair, they're much better than the ones provided.</t>
  </si>
  <si>
    <t>many opportunities to grow such large company</t>
  </si>
  <si>
    <t>Oracle¬¥s business lines do not permit free access to internal company education with in this same organization.</t>
  </si>
  <si>
    <t>Great colleagues, active attempts from people on the floor to create the best possible environment
Product is ok and lots of good attention to end user needs &amp;amp; UX/Design</t>
  </si>
  <si>
    <t>Senior Management has no idea how to run a company, let alone scale one fast.
Some good people in middle management but serious problems at the top of the company. Heading towards command&amp;amp; control which will likely get worse now that the competition is getting serious after the pandemic.
Hiring &amp;amp; recruitment is a trainwreck
Software product but little to no value on quality engineering at scale, multiple layers of patchwork with no incentives to clean up. If anything a feature factory but badly run.
Everything is important and urgent, which means nothing is. Growing rapidly but not managing those changes. Extremely bad at communicating, lacking most real information. Cheerleader culture.
Nice values but not living up to them.</t>
  </si>
  <si>
    <t>* just nothing , maybe in GET period , enjoy ,that too will be distributed when you have to travel from your residence to refinery- 80 km 3.5 hrs daily , traffic jam</t>
  </si>
  <si>
    <t>Everything is a con. You think of any aspect of job , it is a con. Just destroying career of young engineers. If you want to destroy your career , especially those from IITs NITs , come here and if you want to make a career- don't come here.</t>
  </si>
  <si>
    <t>Good work-life balance, mostly friendly peers, friendly and patient directors who avoid micro management.</t>
  </si>
  <si>
    <t>Very unorganized with high turnover. Small percentage of people doing almost all the work with no accountability by leadership to keep teams balanced. Upper Management out of touch with their employees and daily functional systems.</t>
  </si>
  <si>
    <t>Good people, amazing benefits, solid place to work, and good work/life balance.</t>
  </si>
  <si>
    <t>Serious bureaucratic tendencies and bonuses depend a lot on how in favor your department is with senior management.</t>
  </si>
  <si>
    <t>Great package, Great Benefits, great life style company
Excellent place to work hard and earn a lot, not great if you want to develop as a person</t>
  </si>
  <si>
    <t>You must devote a lot of home real-estate to make a 'home office'
Out of hours work for no extra pay
No clear development strategy</t>
  </si>
  <si>
    <t>I worked as an Engineer at Everlywell for more than 3.5 years and overall I have really enjoyed my time there. I've been able to see the company truly grow over that period and one of the coolest things that I can say about the company is how transparent it has always been. Through that transparency, whether it be company all-hands meetings, reports, or general announcements in communications, you are highly exposed to how the business as a whole operates, the relevant KPIs and metrics across departments, and the key strategies to consistently achieve super aggressive goals. Seeing all of these things, at that level detail, get planned, executed, and reported on a regular basis is really educational regardless of what department you are even working in. 
From what I have experienced, having this level of understanding of the business allows teams to practice a much higher degree of autonomy when it comes to delivering work. Teams know what data is relevant to delivering success and are then encouraged to figure out how to best achieve that...directives for features are not really just given to you from the top-down, it's very much driven by the team and makes it much more rewarding and interesting. Teams are also free to use whatever methodology they see appropriate for how they work. If it doesn‚Äôt work for your team, you have the power to change it with your team and that's pretty cool.
Not everything has been a smooth ride though, there have been a few bumps along the road, but bumps are unavoidable and I will say that every step of the way, they are asking you "What can we do better? What's working? What isn't working" and then they actually take action on the results of those answers. People will listen and there are many ways to have your voice heard in this organization: anonymous + public Q&amp;amp;A, 1+1's, surveys, polls. There is a lot of input to give if you have it. 
The tech stack is modern and pretty fun to work with. There is an effective CI/CD pipeline that generally makes deploys and preview environments very simple‚Ä¶makes the process of working on a ticket, spinning up a preview environment, QA‚Äôing, and then deploying to production super easy. They use/implement feature flags, AB testing, a Design Language System, interaction metrics, automated testing, observability, and real user monitoring. Lots of opportunities to get hands-on experience with many relevant technologies and paradigms. 
I think Everlywell tries hard to keep you engaged with the organization and with the team, especially throughout the pandemic. Between the DEI ERG and the Product + Engineering Culture Committee, there are a lot of valuable activities and programming to take in, if you want to attend. I also appreciate that the company does not ignore the events of the world and acknowledges insane things that are happening. It's nice to be able to feel like a bunch of humans together. Even while being fully remote, I feel like I was able to stay engaged and feel like part of a team, in a non-corny or annoying type of way.
Overall, Everlywell is a great place to be if you want to work with really cool people, learn a lot, and have opportunities to make a big impact.
Other Pros:
* Unlimited PTO (never had an issue getting time off)
* company match for charitable donations
* free tests
* educational stipend
* full time remote</t>
  </si>
  <si>
    <t>There can be a lot of meetings, but you are also encouraged (by the CEO) to decline meetings that have no agenda. 
There is a big emphasis on OKR‚Äôs and goal setting, which is a Pro and helpful from the perspective of career growth within the company, but it also makes for quite a bit of extra administration work. It can be hard to make time to focus on those things sometimes. 
From my experience at Everlywell, it has always been a bit challenging to minimize context switching. Things move fast and it feels like you do get pulled in a few different directions from time to time. This can make it hard to focus sometimes. 
It is always heavily encouraged to attend meetings with your camera on...that can be bleh at times depending on what type of person you are, but isn't really a huge deal.
Teams tend to change frequently (or have in the past), so it can be challenging to get past the forming stage of a team to the point where you really hit your stride and become predictable...which can be frustrating. This is kind of just a symptom of fast growth though...new teams need to come from somewhere I suppose. 
There is a lot going on and can feel a bit overwhelming to keep up with at times - There is a lot of interesting work happening so it can definitely feel like a balancing act...but I feel like I have seen this skewing in a more focused direction between teams over the last year(s) which has been cool to see. 
I feel like most of my cons are probably common to any company at this stage though. It's hard to grow and deal with changes...I think Everlywell stands out in how they really try to make these unavoidable speed bumps as smooth as possible.</t>
  </si>
  <si>
    <t>Fast Pace Quick Learner Alot of Work</t>
  </si>
  <si>
    <t>Little Pay For alot of Work</t>
  </si>
  <si>
    <t>Pay and benefits are good.</t>
  </si>
  <si>
    <t>no work life balance 6-7 work day schedule</t>
  </si>
  <si>
    <t>Everything this company is good</t>
  </si>
  <si>
    <t>Nothing in this company is bad everything is good</t>
  </si>
  <si>
    <t>The other area development managers</t>
  </si>
  <si>
    <t>Inexperienced management team were rude and lacked empathy</t>
  </si>
  <si>
    <t>once worked as Treasury trader, focus on offshore funding and portfolio management</t>
  </si>
  <si>
    <t>very good boss top workers</t>
  </si>
  <si>
    <t>Great company, great benefits, great pay</t>
  </si>
  <si>
    <t>I cannot think of any</t>
  </si>
  <si>
    <t>Great company flexibilities with schedule</t>
  </si>
  <si>
    <t>There is diffinently too much bureaucracy.  Would be better ecosystem if management had mutual respect for staff.  The overall environment is laced with fear when it doesn't have to be.</t>
  </si>
  <si>
    <t>cheque cadeau avantage securite sociale</t>
  </si>
  <si>
    <t>trop de boulots pression du chef</t>
  </si>
  <si>
    <t>Great team and support within thag</t>
  </si>
  <si>
    <t>All about the times of calls not so much helping the customer 
Too much focus put on the scripting
High turnaround of staff and management</t>
  </si>
  <si>
    <t>Now that they have moved to a new location, and the picking sequences have changed... it's a less work load.</t>
  </si>
  <si>
    <t>As mentioned before, There is more to work for now. There's no gap in your work performance. Congrats Pepsico; you have found a way to work the human body to pure robotics. Don't show your human emotion. It'll go against the whole construct. Look! I'm not here to talk you out of a job. Just see for yourself. Besides... I have a grievance that was never resolved. By law, I should sue them... but where is that going to get me? Hence the pro of the union... get it? Got it?....good!</t>
  </si>
  <si>
    <t>You can work from home.</t>
  </si>
  <si>
    <t>I was working on their Apple Project which pays 13.00 an hour. When I was hired I was told that I would be on a set schedule. However once I was hired they changed our hours and made us work up to two hours of mandatory overtime a day.  So we had to take calls for ten hours. We also had to keep checking the chatroom and if we didn't we were written up.  They have an attendance line for you to call in case you were not going to be at work but if you used it you were written up or asked to come back to work.</t>
  </si>
  <si>
    <t>Team chemistry with ability to use my own personal ethical sales tactics and a very kind professional work environment.  Making people smile simply by maintaining a positive attitude.</t>
  </si>
  <si>
    <t>In order to move up unethical practices by misleading customers would essential be required to  compete with the top reps.   Unfortunately this was frowned upon but overlooked.   Constantly changing industry.   Sales tactics were changed and customer service was no longer priority but instead push selling was required.</t>
  </si>
  <si>
    <t>The benefits that‚Äôs about it.</t>
  </si>
  <si>
    <t>Garbage management. Ran very poorly.</t>
  </si>
  <si>
    <t>Great project experience and lucky enough to work with an amazing team</t>
  </si>
  <si>
    <t>Regional staffing model make it difficult to get staffed. Even though I didn't have an issue on going to the bench, I found it extremely difficult to get the project experience I wanted due to my location. Even when I found a project, my own region blocked me from going.</t>
  </si>
  <si>
    <t>Good environment, work life balance, optimal tech stack</t>
  </si>
  <si>
    <t>Limited growth, Long heirarchy, average pay scale</t>
  </si>
  <si>
    <t>Opportunities to solve large scale problems. Opportunities to work with smart and creative people. Opportunities to take ownership and drive your own projects.</t>
  </si>
  <si>
    <t>Terrible work/life balance. Unreasonable expectations from leadership creating a toxic environment. No support from leadership, especially around expectations and new initiatives. Recruiter compensation and benefits aren‚Äôt great when comparing to competitors. Too many internal recruiting tools need to process candidates creating multiple issues for recruiters. Recruiter tagging guidelines create issues between internal recruiters working at the same company.</t>
  </si>
  <si>
    <t>When management is good they are excellent. They moved mountains to allow me to take parental leave when it was important for me to do so. There is a great deal of pride in the company from Apple employees, which is justified. Having the brand on ones resume is surprisingly influential. The employee discount is very generous. Some of the customer interactions are very fulfilling on a human level. It is relatively easy to transfer stores, even internationally.</t>
  </si>
  <si>
    <t>There is a great deal of competition between staff members and it is usually the ones who evangelise the brand most who come out on top, regardless of performance. More than once I was passed over for promotions or other rewards such as trips to Cupertino and additional training opportunities, despite consistently being one of the stores top performers (contrary to popular belief, Apple Store employees do have targets). This is one of the reasons I left; management did not want to take me out of my sales position (known internally as 'the Red Zone') where I was a solid performer and allow me to stretch my wings. I was only the second person in the stores history to receive the maximum possible ranking in my annual review. Subsequently I saw many junior staff members whom I tried move ahead given opportunities I missed out on which eventually made me feel disillusioned.</t>
  </si>
  <si>
    <t>Very friendly and relaxed working environment. Great benefits.</t>
  </si>
  <si>
    <t>Training opportunities, location of placement.</t>
  </si>
  <si>
    <t>They continue to over work and undervalue and underpay all their employees. You're not an employee, you're their slave.</t>
  </si>
  <si>
    <t>1. Free breakfast and good staff behaviours
2. Salary on time
3. Nice benefits of medical and health</t>
  </si>
  <si>
    <t>1. Micromanagement in the organisation
2. No career growth and no good projects
3. Less hike pay annually
4. No work life balance
5. Not enough employee centric organisation in terms of cabs availability, etc. 
6. Difficulty taking genuine leaves</t>
  </si>
  <si>
    <t>Competitive salary. Good benefits. Good location.</t>
  </si>
  <si>
    <t>They create a meeting to discuss about next meeting. Then meeting to schedule the meeting and finally meeting that can take all day. Micromanagement, micromanagement...</t>
  </si>
  <si>
    <t>Good salary, office in good location. Hybrid work</t>
  </si>
  <si>
    <t>The company is China centric, most of communication in Mandarin and decision making is not open. They are trying to be international company but they are not there yet.</t>
  </si>
  <si>
    <t>Learning, travel, being chill work, fooling management</t>
  </si>
  <si>
    <t>Politics, too much politics, a lot of preferential treatment by religious zealots</t>
  </si>
  <si>
    <t>Conciergerie sur place - Prime d'objectifs et 13√®me mois - Equilibre vie priv√©e/professionnelle</t>
  </si>
  <si>
    <t>Manque de communication laboratoire/production - Formations trop rapide</t>
  </si>
  <si>
    <t>People I work was great manager worked with my schedule as a single mom.</t>
  </si>
  <si>
    <t>When I had my surgery after Covid Sedgwick said I could come back but my personal said I couldn‚Äôt come back. I was the third person this happened to been employed for 4 years.</t>
  </si>
  <si>
    <t>amazon great place work for bezos mr one</t>
  </si>
  <si>
    <t>only offered rolling one month contracts</t>
  </si>
  <si>
    <t>Flexible working
Good working environment
Good benefits</t>
  </si>
  <si>
    <t>Hierarchical 
So large - hard to make a difference</t>
  </si>
  <si>
    <t>Nothing much to share here</t>
  </si>
  <si>
    <t>No Career Growth 
No Salary Hike
Minimal Bonus</t>
  </si>
  <si>
    <t>Good pay.  You get paid commission on the product that you sell/deliver to the stores.  Good benefits.  Frito-Lay is a part of Pepsico.  So the company is well-known and there is good job security and opportunities for career minded people.  The salty snack business does mega billions of dollars each year and Frito-Lay leads the market.  There's no real worry about a lack of job security.</t>
  </si>
  <si>
    <t>LONG hours.  Difficult to manage work/life balance.  Being an RSR requires 11-13 hours a day on average, meaning I worked 55 - 65 hours most weeks. Sadly, you don't get paid regular 1.5x Overtime like most other people.  If you make bulk deliveries to grocery stores, you have to start very early, 3:00 - 4:00am.  Job requires repetitive motions and it is physically taxing.  You are constantly bending, kneeling, stooping, standing, reaching, and twisting hundreds if not over a thousand times a day.  Injuries are common. Work often feels ike that of an assembly line worker in a factory.</t>
  </si>
  <si>
    <t>Work life balance is very good</t>
  </si>
  <si>
    <t>Slow pace, less opportunities for growth, getting things done is diffcult</t>
  </si>
  <si>
    <t>Diverse inclusive company with amazing perks and care for their staff.</t>
  </si>
  <si>
    <t>All was good but not for me all the way.</t>
  </si>
  <si>
    <t>Culture is great over all</t>
  </si>
  <si>
    <t>Little genuine opportunity to move, only sideways. You don‚Äôt get anywhere really based on performance it‚Äôs about who you know. Understaffed and under benefited for work loaf</t>
  </si>
  <si>
    <t>Brand Name is the only Pro</t>
  </si>
  <si>
    <t>1. Indian Management is readily converting this company into a micro managed startup , but the Australia folks are quite different in comparison 
2. Directly or Indirectly forcing employees to attend office during covid times</t>
  </si>
  <si>
    <t>Initially they offer good salary.o</t>
  </si>
  <si>
    <t>You have to work for atleast 3 people.
High work pressure. Work life balance is really challenging. 
HR is just for namesake.
Manager run their own policies and behaves like they are paying from their pocket.
Everyday need to work around 12 hours.
Most of the managers are working from long time &amp; they are very loyal to their own Manager, yes sir kind of.
Project deadlines are not realistic, upper management decide random date &amp; yes manager never says no. To achieve their deadlines you need to work upon weekends like in a year I worked around 3-4 months on weekends.
Fired many employees last year.</t>
  </si>
  <si>
    <t>good pay and excellent benefits</t>
  </si>
  <si>
    <t>too many hours not enough time off</t>
  </si>
  <si>
    <t>The work culture is pretty good, senior will always help you in every steps that you take.</t>
  </si>
  <si>
    <t>When you don't get the satisfactory conversion, which you will not get despite how good you're with your pitch, the team leaders will treat you like you're some piece of shi*</t>
  </si>
  <si>
    <t>The only good thing about the place is good wage</t>
  </si>
  <si>
    <t>Treat you as Ropet and crazy and no respect</t>
  </si>
  <si>
    <t>Get name on ur CV</t>
  </si>
  <si>
    <t>Pathetic projects, finding a project that aligns to ur professional goal is harder than finding a job outside, do all sorts of useless things to impress but the same things have no industry relevance. Poor pay, stay a few years and move on</t>
  </si>
  <si>
    <t>There is nothing good about this company.</t>
  </si>
  <si>
    <t>There have been continual lay-offs since I started back in 2013.  The company is shifting all of the technical jobs to the Philippines.</t>
  </si>
  <si>
    <t>Excelentes prestaciones buen sueldo y bonos anuales</t>
  </si>
  <si>
    <t>Demasiado estr√©s por metas mensuales</t>
  </si>
  <si>
    <t>Pretty much nothing aside from the nice building location I‚Äôm Docklands</t>
  </si>
  <si>
    <t>Literally no one cares about you - they dangle the promise of a contract in your induction like a carrot on stick only to whip you work exactly like a donkey People getting fired left right and centre like some reality tv show with no explanation and no follow up</t>
  </si>
  <si>
    <t>I met some amazing people especially on shipdock. Work was easy</t>
  </si>
  <si>
    <t>They became a little too strict, some of the managers are judgmental wasn‚Äôt comfortable.</t>
  </si>
  <si>
    <t>The pay and the benefits were the best part.</t>
  </si>
  <si>
    <t>The biggest Cons were working with the Union and conflicting interdepartmental goals.</t>
  </si>
  <si>
    <t>Heavy lifting in bad conditions.</t>
  </si>
  <si>
    <t>Bad conditions with heavy lifting</t>
  </si>
  <si>
    <t>Adequate leaves are available, Salary and benifits very good as compared to other companies.</t>
  </si>
  <si>
    <t>Job security and work- life balance is very poor.</t>
  </si>
  <si>
    <t>- Aucun challenge 
- Missions fastidieuses et redondantes 
- Copinage  
- Coll√®gues peu int√©ressants 
- Faible salaire</t>
  </si>
  <si>
    <t>Benefits, 401K matching, office campus,  training, resources, employee networks, internships, safety training, software, on the spot awards, fire drills, field trips, technology, resources, gym, ergo, HSE, safety culture</t>
  </si>
  <si>
    <t>Poor management in need of soft skills, HR does very little to help employees, work life is not actually applied, lack of awareness of diversity in stem work roles, no onsite childcare, paternity leave scrutinized</t>
  </si>
  <si>
    <t>Je ne vois pas d‚Äôavantages mais des inconv√©nients</t>
  </si>
  <si>
    <t>Salaire
Administration 
Sup√©rieur 
Ecoute relation et affaire</t>
  </si>
  <si>
    <t>Pay rate good compared to others.
Great bonus</t>
  </si>
  <si>
    <t>Would like a longer break</t>
  </si>
  <si>
    <t>good salary and also some plus with it (fitness, yoga); new culture, open-minded</t>
  </si>
  <si>
    <t>Reorganization of the company every 3 years</t>
  </si>
  <si>
    <t>This job allows for great flexability</t>
  </si>
  <si>
    <t>Not enough money and decided to pursue other opportunities.</t>
  </si>
  <si>
    <t>Good health benefit and good people to work with.</t>
  </si>
  <si>
    <t>The time of the shift is tough to get use to.</t>
  </si>
  <si>
    <t>Paid every two weeks, decent PTO</t>
  </si>
  <si>
    <t>About every 6 months they execute another round of layoffs (affectionately known as RIF's - Reduction in Force) to unsuspecting workers.   The numbers are modest, so that they don't get in trouble with the Feds.   Age discrimination is rampant - just make sure you don't give an unfavorable rating on the annual "anonymous" employee engagement survey.   I did and was gone within 6 months.</t>
  </si>
  <si>
    <t>Verizon works to have an inclusive culture, offers internal advancement opportunities, opportunities to learn, and work life balance.</t>
  </si>
  <si>
    <t>Pay needs to be negotiated at time of hire. Do not expect large raises even with promotions. If you like the company but not the pay, you will need to leave and come back as a rehire. So be nice and don't burn any bridges.. which is just good all around advice for life in general.</t>
  </si>
  <si>
    <t>Bad pay, no benefits, insane hours, and CEO fires people like crazy. She is so worried about competition that she tries to ruin anyone she sees as a threat. DO NOT WORK HERE!</t>
  </si>
  <si>
    <t>Please look at Pros list</t>
  </si>
  <si>
    <t>It‚Äôs a job to put on your resume. That‚Äôs it</t>
  </si>
  <si>
    <t>For starters, at one point last October, the company sent out an email asking for all employees to write fake positive reviews on Glassdoor and Indeed to boost applications. Only a handful of people did, but it was still enough to make the company look alright when it is in fact awful. On top of that, no on one is paid, management is abusive, and the company does not respect your personal time. It‚Äôs not an enjoyable place to work and definitely not a place to build a career.</t>
  </si>
  <si>
    <t>Relaxed environment around the office, friendly coworkers, lower management was making attempts to modernize testing approaches at the time I left (introducing automated testing, making moves towards agile), a few good eggs.</t>
  </si>
  <si>
    <t>Upper management halted all progress even after hiring progressive lower management, created environment of apathy. Slashed a ton of staff as soon as covid reached Lincoln, after making motions to enable remote work. Soul killing.</t>
  </si>
  <si>
    <t>Good benefits, annual reviews that result in raises.  Good health benefit coverage with reasonable costs for medications.  Encouraged team building, continuing education, employee growth.</t>
  </si>
  <si>
    <t>Was starting to see cuts in employee benefits.  Like many large companies, there were hoops to jump and some things were time consuming.  A fair amount of representative management.</t>
  </si>
  <si>
    <t>At the time the vacation accruals and health plan were great when I started.</t>
  </si>
  <si>
    <t>Things changed over time with new managers and in the end promises were not kept.  Get it in writing!! CYA</t>
  </si>
  <si>
    <t>Good overall company that does great things in the community.</t>
  </si>
  <si>
    <t>Sometimes chaotic processing system. Having to rely on people not in your workplace to do their job.</t>
  </si>
  <si>
    <t>-have to work every holiday.
-management is terrible and employees do whatever they want.
-no communication .
-human resources doesn‚Äôt look out for employees it‚Äôs for management and doing whatever is best for the company.
-such a huge turn around with management that rules are constantly changing and you don‚Äôt know what‚Äôs going on. 
-stressful environment due to confusion with weekly schedule,rude and racist residents. 
-you have to figure out everything by yourself - human resources can‚Äôt help you with anything . management is clueless. 
-feeling lost and not appreciated.</t>
  </si>
  <si>
    <t>Brand good on CV, exposure to rigid processes</t>
  </si>
  <si>
    <t>Don‚Äôt feel valued as an individual</t>
  </si>
  <si>
    <t>No customers to deal with</t>
  </si>
  <si>
    <t>Consistently lifting 100 pound boxes. It‚Äôs not just small orders</t>
  </si>
  <si>
    <t>Travel opportunities
Fantastic co-workers
Opportunity to learn from smart and savvy business owners
Work from home opportunities</t>
  </si>
  <si>
    <t>My most memorable CON is when the CEO told staff we needed to accept we work for a nonprofit and receive nonprofit pay or go work elsewhere. That is easy to say when you make $400k+ a year. Meanwhile your staff are paid way below industry average, don't receive any raises (not even cost of living raises) and cannot even be reimbursed for needed supplies while working from home because your monthly "stipend" doesn't cover all the costs.
Staff are overrun and overworked by members (in some cases verbally insulted and demoralized) on the regular without consequence. That's what happens though when you underappreciate and undertrain your staff while the organization spends millions to appease member leaders with lavish parties, flights and trips around the world, nights out drinking in clubs, etc which supports their large egos and poor behaviors.
There is little room for growth, so don't plan to expand on your resume within the organization.</t>
  </si>
  <si>
    <t>Great coworkers. All very hard working and dedicated.  Loyal</t>
  </si>
  <si>
    <t>No matter how hard you work or how loyal you are - you are under appreciated and under paid.  Unless you are in Management.  Zero positive reinforcement.  Ever.  No matter how hard you work and dedicate yourself to them.  The ‚Äútraining‚Äù there is a joke.  They only ever point out your mistakes or what you have done wrong.  Horrible morale.  You constantly question your own skill set because you are treated so poorly.   You can take 60 calls a day. But if you don‚Äôt MAKE 60 calls a day as well - you are under performing.  They expect you to do 2-3 full time positions for the salary of one position.</t>
  </si>
  <si>
    <t>- Limited upward mobility 
- Low pay 
- Management is pretty out of touch
- Had me take on another EA's responsibilities (without an increase in pay) temporarily while they "filled the role" and then never hired someone/eliminated the role without telling me. I was expected to continue doing double the amount of work without additional pay or any support. My manager was not empowered to provide any support.</t>
  </si>
  <si>
    <t>Great benefits and unfortunately that's it.</t>
  </si>
  <si>
    <t>The entire management for the most part in the HR department in the Houston corporate office is an absolute joke.  There are a few still employed there who have made their way up the corporate ladder by simply lying and throwing others under the bus continuously.  It is an absolute joke that no one cares enough to see what actually occurs in this department even when complaints are continuously raised.  Employees are led to believe that claims of harassment, bullying and various ethics violations will be investigated.  They aren't and the company always sides with management.  You will work tirelessly all day every day even on your days off only to have your managers claim your work and success as your own.  Many times you will be told that promotions are in the near future but why would you ever move up if your supervisors can keep you down because you continually make them look good?  Myself and several colleagues on the same level gave everything to BHP Billiton for years only to have them toss us to the curb when we no longer fit in their plans and the oil prices continued to slide.  It makes sense when you're trying to cut the bottom line and keep certain mid level managers who have never done a thing for the company and are absolutely over paid!</t>
  </si>
  <si>
    <t>Great working culture.  Very good reputation.</t>
  </si>
  <si>
    <t>Hard to get in.  Tough selection criteria</t>
  </si>
  <si>
    <t>The benefits were great, and honestly the rest of the company outside of the tech side of things seemed to have their ducks in a row. 
Unlimited PTO was nice, but some people definitely abused it.
Outside of this, they like to pay pretty far below market for development talent so make sure you don't sell yourself short when negotiating pay.</t>
  </si>
  <si>
    <t>Overall, the tech team was a chaotic mess and had extremely high turnover during my brief time with this company, which meant all of the remaining team members got constantly shuffled around between different teams. I think I saw 8 people on the tech team leave over the course of 6-7 months? One of them had been with the company for 4 years and couldn't get promoted despite being one of their best tech team members, so he left. Big red flag when a company doesn't promote their employees but keeps hiring on new ones at a higher salary rate. 
Also, the bar on productivity was set so incredibly low here. This is, on the flip side, a great place to work for lazy devs who are tired of keeping up with new technology changes, or sunsetting devs who are ready to cruise into retirement. Or hey, if you're into being overemployed, this is one of those jobs that would be great for it. 
I really have no ill-will towards this company even though they pretty much lied to me during the interview process as far as the role I was getting hired on to do and the work that I actually ended up doing, which was mainly Microsoft Dynamics work and very, very little coding. I just want to warn any future prospective employees that they should set their expectations pretty low if they get hired on here. Or, at the very least, make sure you ask good questions during the interview process to be certain you really know what you're getting yourself in to. I certainly didn't and I wish someone would have warned me.</t>
  </si>
  <si>
    <t>There are no pros in this role / company.</t>
  </si>
  <si>
    <t>I would never recommend this company to anyone, I worked in two different locations and both of them were awful, They excluded staff members and had awful rude staff not one of the staff had anything nice to say about the company or the rules they had to follow. I was a new employee sorting out documents and heard them bulling other new members of staff and how they dressed. They also had strict rules on when you could drink water as if you were a robot. Also the manager pushed a cake in my mouth? Very weird behaviour for a 50+ year old man to be doing. Anyway this job gave me horrible work anxiety and I‚Äôm glad I‚Äôve found a new career.</t>
  </si>
  <si>
    <t>Generally cool colleagues and awesome office space.</t>
  </si>
  <si>
    <t>- Intensely toxic, negative culture. Expect to be thrown under the bus and hear inappropriate comments in meetings.
- Lack of formal HR process
- Difficult place to work if you're not male
- Massive egos abound
- Not a place to grow your career
- Attrition rates are terrible, which should tell you something</t>
  </si>
  <si>
    <t>some really smart and hard working people work here
They're really trying with DEI - i wouldn't say its going well, but they're trying</t>
  </si>
  <si>
    <t>This place is toxic and an absolute mess. There are so many leaders here that should not be leaders - they are wildly unqualified and fail to grasp the basics of their role. These people create an endless amount of meaningless work in order to try to prove their relevancy. These leaders are causing the sparse remaining talent to leave in droves. 
When i spoke up to my manager about my profound unhappiness in my role due to micromanagement and being over worked - i was questioned about what was going on outside of work to cause such stress for me. It was never accepted or acknowledged that Collibra was the problem, and it was implied that it was my fault or my personal life that was prohibiting me from thriving here. I was told to feel empowered speak up about being underwater, but every time i spoke up i was told to have growth mindset. This place made me feel like a failure, but in hindsight i was set up to fail. Any ideas or thoughts I shared about changing process or questioning the status quo was met with confusion at best, or hostility &amp;amp; patronization at worst. 
I have been removed from this company for enough time to reflect upon my experience at Collibra clearly, and I can confidently say this was the worst experience of my professional life. The BOH systems are absolutely not in the place they need to be for a company of this size (far too much is still managed in excel or google sheets). Different teams are in different places with the quality of their data and systems which makes it incredibly challenging (read impossible) to work cross functionally. Over the two years I spent here - nothing changed, nothing improved. 
There is no clarity on the strategic plan or long term vision, it feels like everyone is constantly putting out fires and not spending any time thinking about how to prevent fires.
Oh.. and stop being cheap. Pay people what they deserve and give teams the resources they need to be successful.</t>
  </si>
  <si>
    <t>Literally nothing, I would rather be in prison. I disregarded the negative reviews online during my hiring process which was a huge huge regret. Take my advice and DO NOT work here, in any position.</t>
  </si>
  <si>
    <t>Every single day when I walked through the doors was a con, Working 60+ hours a week for low salary, literally no time off even if you‚Äôre on vacation, you have to be available 100% of the time, mostly everyone quits within 6 months (except upper management who don‚Äôt care about you), employees hate management (wonder why), CEO states at onboarding that ‚Äúeveryone is replaceable‚Äù, management is expects you to do so many things that you can‚Äôt complete anything.</t>
  </si>
  <si>
    <t>The organization works as a horizontal community, meaning that knowledge and experience are spread across the most experienced members and also promptly available to interested newcomers; interesting conversations happen daily and everyone is invited.
Devsu's technical interview is on the right balance between what is usually expected from a FAANG company (Facebook, Amazon, Apple, Netflix, Google) and the industry tendencies, so excellence in algorithms and optimizations are of importance but they recognize and emphasize how those hot topics translate to real-everyday work.
Devsu is also a company that emphasizes and puts lots of effort into being truly LEAN and Agile.</t>
  </si>
  <si>
    <t>The use of Hubstaff, which can and should be an optional requirement.</t>
  </si>
  <si>
    <t>Verbling used to be my favorite platform to teach on, the fees were fair and they offered a lot in terms of teaching tools.</t>
  </si>
  <si>
    <t>Unfortunately, verbling doesn't feel safe anymore. Recently they started an entire purge of teachers if they don't comply with their new invasive background checks made by a third party without giving any knowledge as to how this really personal and private data is processed and who it is shared with. Accounts of the teachers who didn't comply were deactivated, posts on the teacher's forum where people were just asking honest questions about this situation were deleted and many people who were desperate enough to comply also lost their accounts (and often their main source of income) because the website of the company making the checks had various technical issues that didn't allow some people to complete them. I've read a few heart-wrenching pleas of teachers about to lose all of their students either because they didn't feel safe with a random company acquiring all their data or because they couldn't complete the check due to technical problems with the website or because they lived in countries where it might not have been safe to do so. Some teachers based in the UK asked if they could simply complete a DBS check but that of course didn't satisfy verbling either. Not only does this shady practise affects teachers' lives but students as well, because - surprise! - none of them were given refunds! Without any notice they were just given their verbling credit back and had their classes cancelled without any explanation when their teacher's account was deactivated. If they are learning a less popular language there are often no other teachers available so they can't transfer that credit to someone else and even if they can it's still highly unethical not to offer a refund. Considering how much verbling pushed students to buy 10 or 20 hours packages many students lost hundreds of dollars that they can't get back. What's most upsetting about this whole situation is how completely unnecessary it is - I've never heard of anything like that happening on any other teaching platform. I have no idea what happened to Verbling but the way they currently conduct their business is ethically questionable at best.</t>
  </si>
  <si>
    <t>Good benefits, pretty interesting product</t>
  </si>
  <si>
    <t>Cutthroat environment. 
Layoffs come fast and unexpected. Management does not have your back.</t>
  </si>
  <si>
    <t>The products, industry and tools are fascinating. Lots to learn if given the right tools and time.
Really enjoy working with the team in Ljubljana, Slovenia. Hard working bunch.
I think with a new CEO / management Team / or an involved Investor, this company could really shine. So much potential, it is unbelievable.</t>
  </si>
  <si>
    <t>I think all the engineering team feels frustrated working with a CEO that is condescending and wants you to be available 24/7.
Sales teams rarely stay more than a year due to toxic environment.
Marketing Team seems like a PR team trying to Kool-Aid everything and everyone, without any added value.</t>
  </si>
  <si>
    <t>Abroad travel, 
Career progression Available</t>
  </si>
  <si>
    <t>Low pay, 
High staff turnover
No help from HR</t>
  </si>
  <si>
    <t>Reimburse for education. Time flexible. Member due for professional association</t>
  </si>
  <si>
    <t>Unnecessary pressure from the top. Lower pay</t>
  </si>
  <si>
    <t>-- Extremely risk averse (specifically Cruise Critic)
-- "Speed wins" mantra = shipping sloppy products 24/7
-- A crushing amount of tech debt
-- Revenue-only focus, does not care about "tending the garden" for long-term sustainability
-- Routinely make poor biz choices (Tripadvisor Plus, anyone?) that derail the org
-- Leaders have no training and it shows
-- Poor compensation (read below for more info)
-- Abysmal financial support toward proper resource and tooling
-- Diversity goals are a smoke screen
-- Constantly focused on all of the wrong things
-- There's no culture or belonging, even within the ERGs (this is a clock in, clock out company)</t>
  </si>
  <si>
    <t>Nice, new store and offered a lot to the consumer. Salary was fair.</t>
  </si>
  <si>
    <t>Staffing is horrendous! I worked alone every day/night from 3 pm - 11 pm ALONE! I had no breaks, no lunch break and there was no bathroom so I had to lock the store when there were no customers and then walk to another building to use their bathroom. There were nights that I could not leave to use the restroom because there were too many customers. No matter how many times I asked for more support, the manager would not hire anyone or put anyone on the night shift with me. There were super sketchy people and homeless that frequented the store and it was never safe. I had more than 10 confrontations with these people which wasn't safe.</t>
  </si>
  <si>
    <t>Nice people outside of work</t>
  </si>
  <si>
    <t>Staff are not appreciated. Hr and IT failures are holding back the rest of the company</t>
  </si>
  <si>
    <t>Great learning environment and free ceu's</t>
  </si>
  <si>
    <t>Little pay with no advancement</t>
  </si>
  <si>
    <t>great opportunity and amazing people</t>
  </si>
  <si>
    <t>none to my knowledge ; amazing place overall</t>
  </si>
  <si>
    <t>Good place to work and great perks</t>
  </si>
  <si>
    <t>Few hours during certain periods and promotion</t>
  </si>
  <si>
    <t>There are none they treat everyone like Crap</t>
  </si>
  <si>
    <t>Being Picked on a lot as a newbie</t>
  </si>
  <si>
    <t>This has been a great company to work for. Of course, it's not 100%, all in all, this company delivered. I worked for Caring.com for 2 1/2 years and yes watched it bring on changes to its compensation, but I stuck to their program and pounded the phones stayed consistent with my calls, and did all I can to help families and seniors during a transitional period in their lives and was rewarded for doing so. This company is evolving, but they have brought on more support to assure finding your move-ins for the family advisors.
Let's not forget what this company has done during the peak of a pandemic, for their employees and families making sure they were taken care of.
If you have the skills, this is for you, if you are lacking, you will be the person putting negative reviews, blaming the company for your lack of.</t>
  </si>
  <si>
    <t>I didn't see this as a con for myself, but I know for others had a hard time with frequent changes in compensation plans. Again with the changes came more support to find your move-ins.</t>
  </si>
  <si>
    <t>Flexible for those with multiple jobs, other obligations, family, etc. Great benefits for those who choose to be full time. Occasional employee events that are enjoyable. They offer promotions if you've stayed and acted like a good dog for enough time. Most of the server/food &amp;amp; Bev employees make great peers</t>
  </si>
  <si>
    <t>Hours are not guaranteed, as they will often cut them short and cancel/change your shift last minute without a proper notice that they need to rearrange somethings, so you're check is never consistent if you're not pushed into being full time for that reason. Tips are included in a gratuity but is only distributed quarterly and how convenient for them that it leaves the employees with a vague idea and understanding of how accurately they‚Äôre splitting that and then its labeled as a ‚Äúbonus‚Äù as if we should be grateful for what we rightfully earned, while most employees if not full time (which is a miserable scenario for most who did it) are still barely covering their costs as most of us had second and third jobs to make up for when hours are cut short which was an unpredictable weekly occurance at times. They hire ANYONE . From addicts to sexual abusers to men threatening to shoot up the place, there is no background checks to protect their employees from the consequences of lacking that part of the hiring process. They gaslight the rest of the team when we DO speak up about those consequences and minimize , invalidate and dismiss those concerns until a member of the club themselves notices and vocalizes the problem , and then it gets taken out on us as if we we're the ones to fail them. The same manager enforcing "zero tolerance" rules is the same one laughing it off when one of the servers drops their bag of marijuana on the member dining floor. It's not surprising why their turnover is ridiculously high. They chase out quality people with irresponsible and insensitive behavior and then the ones they have left they will sell short unless confronted. They will fault you for the same things they let others get away with, especially between men vs women. (The managers who the most in charge of running the place and handle employees are men) If you come to them about an uncomfortable situation, they will give you a political reaction &amp;amp; send you off with something to distract yourself with untill the problem reoccurs and is delivered by a man or white person. Their awareness and advocacy for diversity is performative &amp;amp; evident with experience.</t>
  </si>
  <si>
    <t>Competitive salary for entry level developers
Porto office is well located
You can find great people in the company.
Effort by the HR to make people feel well and happy.
Company car for team leads and principal engineers.</t>
  </si>
  <si>
    <t>Toxic culture.
 - Blame
 - Knife on the back
 - Unfair end of the year performance reviews
No career path
Terrible/horrible code bases in most projects.
Terrible management all the way from bottom to the top</t>
  </si>
  <si>
    <t>Strong mission-driven culture. Almost without exception, colleagues are nice, smart, and hard-working.</t>
  </si>
  <si>
    <t>As a consultant, you are often at the mercy of the client's pace / vision, which can be frustrating.</t>
  </si>
  <si>
    <t>People are nice and genuinely care.</t>
  </si>
  <si>
    <t>No focus. Executives have no clue what the rest of the group is doing; for an organization this small, that‚Äôs inexcusable. No game plans among the functional units.  Employees that work with students every day (program managers, instructors, IAs) are often seen as unimportant. 
The model Pursuit uses (the Pursuit Bond) is really no different than a typical income-share agreement at General Assembly, Flatiron School, etc. and at least at those places you learn from a better established curriculum and larger support system.</t>
  </si>
  <si>
    <t>Good pay but that is needed. Also nice colleagues and office is fine.</t>
  </si>
  <si>
    <t>Working there is like being part of a disfunctional family with an narcissistic  step father who travels often so leaves his son to rule the house. Everyone is scared of the Father, so just perform tasks to keep him happy even if that means making incorrect decisions.</t>
  </si>
  <si>
    <t>If you like clueless, and money hungry/screw you over on your dime. This is the place for you.</t>
  </si>
  <si>
    <t>They will just drop you in whatever country you are in and good luck getting home. Don't matter if there is a pandemic or not. You might get a plane ticket, maybe.</t>
  </si>
  <si>
    <t>Interesting Projects on going, they are trying to innovate (at least).</t>
  </si>
  <si>
    <t>Management is bad, program management and product owners don't have the skills to be in front of projects, there is lots of rivalry inside, even between the client itself (officials), most decisions are not taken for technical reasons but for political reasons, everything is rushed impacting the quality of delivery, big turnover internally, most of the other staff are technically weak and good ones don't stay for long.</t>
  </si>
  <si>
    <t>Social events a couple times a year</t>
  </si>
  <si>
    <t>Toxic working environment
PM management team are bullies
Top heavy in directors and management who lack expertise and professionalism
Operation directors swears a lot.
Dictatorship working culture
Low Salary
Narcissists' on Top
Lack of transparency
Inconsistent rulebook
be prepared to work 7 days a week
The place is sick, lterally</t>
  </si>
  <si>
    <t>Unlimited PTO, Summer Fridays, 1 week of Holiday Break, generous holiday calendar, several office events, insurance, TicketsAtWork, 401K with match, pre-tax metrocard, adoption and fertility assistance, fun clients, free alcohol, rooftop.
The coworkers are very cool and there are several notable clients. Folks were very open to talk about my career plans and letting me sit in on meetings to figure out what I‚Äôm interested in. Office events were fun and not too forced. Leadership was very respectful in my experience. Room for upward growth, but not as flexible with switching departments.</t>
  </si>
  <si>
    <t>Halfway through my time there, our team got switched over to dentsu instead of 360i. That stripped us of our unlimited PTO and Summer Fridays, which was a real bummer. It seemed like we always had different rules because of this. Because I was on the Office Hospitality team, I often felt like an outsider looking in. We were treated with respect mostly, but never really felt like a part of the team. Due to COVID, I was furloughed for 8 months then eventually let go. Tried applying to entry-level positions/apprenticeships so I could stay with the company and grow in my career. They put on a front about wanting to help me but never really did anything about it, even though I was very passionate about the company, its clients, and culture. Wish it didn‚Äôt end on a sour note, but I still see the company in a positive light.</t>
  </si>
  <si>
    <t>Nice work home balance, gentle people, working conditions, food, etc.. (You can watch youtube half working time and still being OK with your working schedule ...)</t>
  </si>
  <si>
    <t>Terrible code quality written unprofessionally, massive recruiting caused a lot of occasional people to start coding, a lot of hidden unemployment, burocracy, lazy management, excessive meetings,fear to take responsibility . Inventing artificial promotions and making Hulalalala on every weekly meeting, this is rediculous ....</t>
  </si>
  <si>
    <t>They really take their values seriously. Transparency is king at Glassdoor and its felt in every decision they've made. I never felt left in the dark or like there were resources the company was shielding from me.</t>
  </si>
  <si>
    <t>Diversity could have also been much better.</t>
  </si>
  <si>
    <t>Great company, great people, work hard play hard environment, you get out what you put in</t>
  </si>
  <si>
    <t>high turn over, can be a grind</t>
  </si>
  <si>
    <t>You learn new things about contracts nationwide and get to speak with many different people on a daily basis.</t>
  </si>
  <si>
    <t>Management is undecisive, change the business model very frequently before even adjusting to the old.</t>
  </si>
  <si>
    <t>Smart folks to work with</t>
  </si>
  <si>
    <t>Passive aggressive environment, tone from the top is not conducive to healthy working environment for folks who wants some balance in their personal lives.
Communication structure is horrible. Reminds me of how companies used to operate in the 80s / 90s with authoritarian culture with little regard for personal sensitivities</t>
  </si>
  <si>
    <t>Great friendly family company in Massachusetts. Not so much in texas</t>
  </si>
  <si>
    <t>Lack of knowledge and management skills in Texas. Massachusetts runs and operates flawlessly. 5 stars if your in Massachusetts. 1 star if your in Texas.</t>
  </si>
  <si>
    <t>You don't have to teach kids.</t>
  </si>
  <si>
    <t>Difficult to improve rate/hr because of very strict kpi system.</t>
  </si>
  <si>
    <t>You know How much you are making.</t>
  </si>
  <si>
    <t>Gotta know Japanese or can't communicate with other teachers</t>
  </si>
  <si>
    <t>‚Ä¢ I got paid a decent salary.
‚Ä¢ My coworkers were great people.
‚Ä¢ I was lucky and was on the most profitable team at the company so I wasn‚Äôt as micromanaged as the other teams.</t>
  </si>
  <si>
    <t>‚Ä¢the commission structure is horrible 
‚Ä¢ no work life balance. We only developed balance because of Covid. 
‚Ä¢ management lies A LOT. They‚Äôll tell the teams anything to cover their mistakes. Please don‚Äôt think they are on your team, you are just a number. Management is very shady in how the navigate the staff, working people to the bone with very few perks. Not many holidays off, you earn half a day off every month. So if you‚Äôre sick you go unpaid or a negative PTO balance. 
‚Ä¢ they beg you to not leave negative reviews on the company. Please please PLEASE know that so many of these are fake! 
‚Ä¢JumpCrew is a boys club. They care so little about diversity so if that‚Äôs important to you, I would also take note that there are very few women or people of color in management &amp;amp; throughout the company as a whole. A coworker mentioned the discrepancy to management a number of times and there were always promises of change.</t>
  </si>
  <si>
    <t>- CEO had great energy, vision and practiced what he preaches (gone now)
- the product is great; the more your read about FinTech in the news, the more you realize the impact it has on others internationally
- office location</t>
  </si>
  <si>
    <t>- CFO (now replaced) and COO silo employees
- Incestuous culture with rumours &amp;amp; high-school-like drama. 
- When people are actually having fun - management got suspicious. 
- In interview, say they are open to training and support but there was none. Became afraid to ask questions as the individuals who did help were reprimanded.
- cheap</t>
  </si>
  <si>
    <t>Nothing, it was all bad</t>
  </si>
  <si>
    <t>Everything sucked and they‚Äôre cheap</t>
  </si>
  <si>
    <t>Plenty of PTO, hard to get terminated, entry level</t>
  </si>
  <si>
    <t>Low pay, promote based on cliques, the rules dont apply to everyone</t>
  </si>
  <si>
    <t>Work from home after 6 months-10 months</t>
  </si>
  <si>
    <t>Low pay
Massive amounts of work
Management wants you to take on responsibilities of other co-workers when they don‚Äôt do their jobs right.
Acw (after call work) is 3 minutes. Not enough time to finish work correctly.</t>
  </si>
  <si>
    <t>Was really good at first</t>
  </si>
  <si>
    <t>Allowed a bullying culture to flourish</t>
  </si>
  <si>
    <t>Unique office environment and location.</t>
  </si>
  <si>
    <t>Learning about Engineering and installing parts</t>
  </si>
  <si>
    <t>Trying to compete additional tasks</t>
  </si>
  <si>
    <t>1. Work life balance
2. Get opportunity to work in different different technologies
3. No work load
4. On time to time different different type of activities was organised in which you can take participants.</t>
  </si>
  <si>
    <t>Didn‚Äôt find any such cons due to which you can‚Äôt join this organisation.</t>
  </si>
  <si>
    <t>Great experience for students
Great staff
Fair salary
Company wide cookout every week</t>
  </si>
  <si>
    <t>Long hours
Hard manual labor
Frequent superfluous meetings</t>
  </si>
  <si>
    <t>Remote work, unlimited vacation/PTO days</t>
  </si>
  <si>
    <t>Mandatory salary reductions due to financial instability x 2 in 2 years. Management changes, business goals unknown to most on the team, lack of strategy and direction. No new sites added.</t>
  </si>
  <si>
    <t>Pay was good, Benefits were descent. Personnel was very helpful and honest.</t>
  </si>
  <si>
    <t>Minimal support from regional manager. Focused on growing company faster than infrastructure could sustain.</t>
  </si>
  <si>
    <t>Career development, Great Manager and Team,</t>
  </si>
  <si>
    <t>Old internal technology platforms. Very bureaucratic.</t>
  </si>
  <si>
    <t>-Unbelievably amazing colleagues that became the only reason I came to work. We found a collective unity by experiencing similar dysfunction within the company. 
The hiring managers are great manipulators thus having a great sense for ‚Äústyles‚Äù of new hires. We ALL got along!  
-paid training and licensing 
-kitchen is stocked, lunch twice a week
-please read the cons 
-competitive pat (if you negotiate for it).</t>
  </si>
  <si>
    <t>-The leaders of this company are professional salespeople. 
If you read the reviews on how we were scripted to treat borrowers ‚Äî that is how they treat their employees. They manage from a script.
-‚ÄúSmoke and mirrors‚Äù everything is phrased and scripted in a way that seems great, but it‚Äôs all lies. ‚ÄúFine print management.‚Äù
-inner-circle politics 
-complete dysfunction in their leadership ‚Äútactics‚Äù stemming from how the CEO handles his employees. It‚Äôs as if they have to read ‚Äúhow to manage‚Äù before responding. 
They will always respond to your question with a question. 
-CEO has a complete disregard for the integrity of his employees and will publicly do so in front of the entire company. 
-As a startup, there is no organizational dynamic (or how one should act to be successful). It‚Äôs constantly being made up as they go. There is no structure ‚Äî promotions are based off of ‚Äúfeel‚Äù and ‚Äúpersonality‚Äù and not work performance. 
-this job highly affects your lifestyle and outlook. 
‚ÄúProtect yourself at all times... be calculated in your responses... these people are liars and will milk every emotion from you until you break.‚Äù - a former colleague of mine.</t>
  </si>
  <si>
    <t>Great culture that focuses on employee satisfaction. The people there are truly great, and the compensation is slightly above average for upstate jobs.</t>
  </si>
  <si>
    <t>Public accounting industry hours can be tough. High performing employees could be compensated better to help retain talent.</t>
  </si>
  <si>
    <t>Easy job, commission as an associate is good. Some stores have good people to work with. Easy to get hired at most places.</t>
  </si>
  <si>
    <t>District Manager for where I worked was inconsistent, the store managers changed every few months. 
The DMs mistakes are your fault.
Turnover rate is very high. Expect to get called in on your days off. 
They will treat you as lesser if you can't work 6-7 days a week.
The computer systems are very old and most logs are still on paper.
They will not train you properly at most stores.
If you're a keyholder, you better have experience because they will not tell you how to open or close, they will give you the answers to the training test and tell you they'll actually teach you later, but then they won't.
If you have an issue with management, they will not give you a chance to respond. 
If a customer complains, they will hold it against you and never speak to you directly, or just not inform you at all until its convenient for them to do so.
They only schedule 2 people a shift, even while training. Store managers will get yelled at for OT during this too.
They have one guy managing a ton of stores where I'm at, and he doesn't pay attention or listen to anyone other than the store manager, unless it's convenient for him to do so.
When my former store manager walked out due to declining mental health and stress, the DM tried to manipulate them into coming back.
The pay for every position is abysmal. Associates make minimum wage, but because they are usually at the register and make 7% commission, they often make more than the keyholders, who are usually doing shipment/cleaning because the associates are not trained properly. 
The store manager position usually starts at less than 16 an hour.
The store is always a mess and the DM would complain about it but wouldn't give us the time or people to clean it up.
The management does not care about their employees.
All of the shoes are on the floor so they will be stolen and damaged by customers daily. People will leave trash and empty boxes everywhere.
The dress code is outdated, they make you buy your own shirt if they don't have any, they have an order form to get shirts but they either never did it or you have to pay for them. 
Dress code is only enforced by DM, and they don't even list it properly on the paperwork.
The store manual is also outdated, and the DM told us not to follow it.</t>
  </si>
  <si>
    <t>diverse, fun, engaging, career focused, good benefits</t>
  </si>
  <si>
    <t>managers change too often, some great managers and some horrible ones</t>
  </si>
  <si>
    <t>The ability to work independently.</t>
  </si>
  <si>
    <t>Work is not structured but rather thrown to you when someone else doesn't want to do it. I also believe that some select supervisors are racist.</t>
  </si>
  <si>
    <t>Some good perks and benefits programs</t>
  </si>
  <si>
    <t>Extremely high turnover; inconsistent and outdated processes</t>
  </si>
  <si>
    <t>The only positive thing is listening to all the gossip.</t>
  </si>
  <si>
    <t>If you get COVID-19, your two weeks out of work will be UNPAID. You heard that right! There‚Äôs currently a COVID-19 + unit there, and you won‚Äôt get paid if you become COVID-19 +. Also, not everyone is getting hazard pay. Does that make sense? There are nurses, CNAs, RTs, dietary, etc., that are constantly in contact with staff that are going into the COVID-19 + units, so why isn‚Äôt everyone getting hazard pay? It was definitely soul crushing to see the ‚ÄúHeroes Work Here‚Äù signs in the front of the building, when administration isn‚Äôt even paying us what we‚Äôre worth. That is why I left. There are plenty of other facilities that honor hazard pay. Please don‚Äôt even apply here.</t>
  </si>
  <si>
    <t>In my six months there, the best day I had was serving hot dogs to students as a morale booster. Everything else was awful.</t>
  </si>
  <si>
    <t>I‚Äôve been working near constantly since I was 16. About 20 years. I‚Äôve had a few jobs that I wouldn‚Äôt choose to go back to, but most were good. The one job you couldn‚Äôt offer me enough money in the world to return to is Career Services at Remington. I‚Äôve never woken up sick to my stomach in the morning for any other job. The president walked in every morning to look me over and see what I was wearing - always professional, always the right length, always appropriate. But every morning, I was given the once over. So was my team. The phones are bugged; meetings are listened in on. Reviews with the regional president are nightmarish. He tells you how to prepare then does the opposite of what he says he will do. He sat in the back of a dark room and degraded my team, my progress, everything I did while I had to look ahead and was advised not to turn around to speak to him. I was told what colors to wear on those review days. I was told not to wear lotion or perfume or too much jewelry because it ‚Äúoffended him‚Äù. While being spoken to like an idiot, I was told to just sit there and listen and never talk back. What kind of workplace is that? As for the work scope - it‚Äôs impossible. If 100 kids graduate, you‚Äôre expected to place 100 kids in jobs. If you place 99, they ask why you didn‚Äôt place 100. The problem was places wouldn‚Äôt hire Remington students because the education they get isn‚Äôt good enough to get them hired. While cold calling to try and place students in jobs, employers would ask what school I was calling from. When I told them Remington, sometimes they would say ‚Äúwe don‚Äôt hire Remington students‚Äù. Sometimes they would just hang up. If the regional career services director is feeling pressured enough, they‚Äôll tell you to fudge the numbers - and they‚Äôre ALWAYS feeling pressured. Remington is an awful diploma mill and every location should be forced to shut its doors. Please avoid it. You won‚Äôt last long anyway - they don‚Äôt keep anyone long. When they do let you go, they‚Äôll make you sign a document that states that nothing unethical is happening at Remington and that you never witnesses anything that could be deemed unethical. Trust me, though, you will. Every day.</t>
  </si>
  <si>
    <t>Salary, cab, Nothing much to say</t>
  </si>
  <si>
    <t>*They treat their own employee from US as a client
* No culture
*Chennai Management makes sure that we don't have direct contact with the higher management in US.
*HR claims there is glassdoor page for transact 
* HR passed wrong information abot the shift timings for 15 people at time.
* unwanted cheap behaviours from the management to hide their mistakes
*Poor pantry
* Left the company in 15+ days</t>
  </si>
  <si>
    <t>At this point, few to none.  A port in a storm, if you can't find anything else. Free parking, soft drinks and coffee, and fruit.</t>
  </si>
  <si>
    <t>Long hours, no rewards for rowing a galley with no rudder or compass. Lack of product vision, direction, and fewer and fewer competent resources to achieve even keeping the boat afloat, much less moving forward. Customer churn is significant. Stability is much more of a fantasy than a dream.</t>
  </si>
  <si>
    <t>Works to support civilians and humanitarian law in the world's most fascinating and intractable conflicts. Very committed staff. Interesting work. Offers unbeatable life experiences.</t>
  </si>
  <si>
    <t>Approach to staff is part military-style with strict and inflexible ruling. May make it less suitable for non-medical outsiders with non-ICRC experience. HR rules and treatment of staff can sometimes seem shambolic, arcane, and cruel, frankly.</t>
  </si>
  <si>
    <t>Good hike, friendly culture, A lot of apportunity to learn and grow.</t>
  </si>
  <si>
    <t>Some time feels work pressure and that is for each project.</t>
  </si>
  <si>
    <t>The great working environment and wonderful co-workers. The caring, friendly, approachable, and superior leadership qualities of the management personnel.</t>
  </si>
  <si>
    <t>Unfortunately, the salary for CRC‚Äôs is very low, especially considering the workload, advanced knowledge, and skills necessary to perform the necessary job functions.</t>
  </si>
  <si>
    <t>Free samples, discounted services and retail products.</t>
  </si>
  <si>
    <t>Catty environment, zero support from management, zero care for employees, no benefits, not worth your sanity.</t>
  </si>
  <si>
    <t>The people you work with are great and they try to do things to increase employee morale...cookouts, random lunch parties, etc.</t>
  </si>
  <si>
    <t>The amount of benefits decreased. Management does not communicate effectively</t>
  </si>
  <si>
    <t>no good reasons at all.</t>
  </si>
  <si>
    <t>management, only solution of theirs is to "make more calls" lol</t>
  </si>
  <si>
    <t>None whatsoever. I met one nice writer there.</t>
  </si>
  <si>
    <t>So incredibly disorganized and bizarrely run from the top down. Just read all the reviews if you are considering an offer from this ‚Äòcompany‚Äô. Humiliation, misogyny and homophobia were daily reminders of the hellish atmosphere of this ‚Äòpay for play‚Äô scam sold with cooked numbers. Literally dealt with PTSD for almost a year after my short 6 month stint in this evil place.</t>
  </si>
  <si>
    <t>Nothing good about job, find something else</t>
  </si>
  <si>
    <t>The company knows where their weaknesses are and refuse to address them.</t>
  </si>
  <si>
    <t>Good Benefits - but not enough to makeup for poor comp</t>
  </si>
  <si>
    <t>Do not expect to advance at IHS Markit. You better be happy where you come in at. 
Low pay</t>
  </si>
  <si>
    <t>Bonuses, increases in pay, some room for advancement</t>
  </si>
  <si>
    <t>Management doesn‚Äôt know what they‚Äôre doing, quick to write someone up, no support, long hour shifts, always being called in, believe the clients over the staff, no proper training, gossip, slander, catty work environment, quick to throw someone under the bus, staff sleeping with clients the list goes on</t>
  </si>
  <si>
    <t>Good internal interpersonal team dynamics, excellent one-on-one patient care, very clean and technologically up-to-date service space.</t>
  </si>
  <si>
    <t>Poor hiring/recruiting process, poor top-down management control, local branches often feel disconnected from the bigger entity.</t>
  </si>
  <si>
    <t>I doubt there are any points to add here.</t>
  </si>
  <si>
    <t>The top managers are swindlers, lead by the most unethical, callous, human you will ever come across. They will make your life a living hell and they do as it pleases them. Right from fooling customers, to employees, to their partners, it is all built over a hollow, deceitful foundation. Pick up any current/ex-employee and discuss the company with them, you will find the same feedback. There is zero respect and value for employees. The CEO will yell all day and the other leaders will wag their tails, only to talk crap behind his back. Your fnf and documents will never be fulfilled. Some day this company will come down so bad because it has crippled a lot of hopeful careers and innocent souls.</t>
  </si>
  <si>
    <t>- They like to promote individuals that have only worked at ReliaQuest, because they don't want individuals with outside experience. They want you to drink the ReliaQuest Kool-Aid and never be innovative, just follow their old ways.
- Catching my drift... their are no pros</t>
  </si>
  <si>
    <t>Strong team environment
Excellent technology to work with</t>
  </si>
  <si>
    <t>Lack of backup in the admin dept.  Vacations often left with much of the work to be completed upon return.</t>
  </si>
  <si>
    <t>Flexible work hours and good benefits</t>
  </si>
  <si>
    <t>Make sure you are hiring for the necessary positions, not positions that will not be needed. If you intend to promote someone, follow through instead of hiring from the outside and not communicating that clearly. Don't be deceiving be upfront about the future of people's jobs. Get to know your employees before you lay them off, especially if they have not even been given the opportunity to show their worth.</t>
  </si>
  <si>
    <t>Working with a life saving technology that detects and assess concussions (TBI)</t>
  </si>
  <si>
    <t>Frequent strategic shifts, long hours and company is running out of money</t>
  </si>
  <si>
    <t>The higher ups were great, all the benefits as well.</t>
  </si>
  <si>
    <t>Limited amount of resources, no actual place to call on office. Had to drive personal vehicale.</t>
  </si>
  <si>
    <t>amazing job. love everyone there.</t>
  </si>
  <si>
    <t>sometimes felt like I wish they hired more minorities.</t>
  </si>
  <si>
    <t>Some good people worked there</t>
  </si>
  <si>
    <t>Awful management. Awful pay. Awful culture. Stay away. No pay increases to base pay for sales people in 20 years. ESOP is a joke now and less than it was 10 years ago. Run, don‚Äôt walk.</t>
  </si>
  <si>
    <t>there are no pros working here.</t>
  </si>
  <si>
    <t>Do not join this company as there is no job security.I had joined here as senior engineer javascript.i was terminated from my employment within few months after joining for trivial reason as the company ceo was not ready to give task in written form. he verbally used to give vague requirements and then kept shouting for wasting time on assignment. they have useless policies of not giving termination pay after firing employees. the ceo is very rude and arrogant. salary never came on time. i had to tell my problems each month to get salary. also workwise , ceo keeps giving rR&amp;amp;D work on random technologies, doesnt allow to work on their own product. overall there are no processes , structure and the behaviour towards employee is crappy, arrogant.do not fall for this trap. they are absolutely crap company.ceo told me that he would hire cheap freelancers , so basically they have freelance type of mindset. they should not play with people's career by recuiting them full time, instead hire freelancers for cheap work</t>
  </si>
  <si>
    <t>You will learn a lot becoz pressure of work is too high</t>
  </si>
  <si>
    <t>High Work load, Never pay employees on time, even sometimes give salary of current month after 2 months and only half salary, CEO is soo rude and unprofessional</t>
  </si>
  <si>
    <t>WFH is available in Vizrt</t>
  </si>
  <si>
    <t>You dont know when you will loose the job</t>
  </si>
  <si>
    <t>Good pay, health insurance and retirement plan.</t>
  </si>
  <si>
    <t>Management was stuck in a 1990's time warp. You must sacrifice family time due to the constant push to service clients.</t>
  </si>
  <si>
    <t>Smart people with strong fundamental approach to private equity investing
good pay</t>
  </si>
  <si>
    <t>very long hours and little focus on fixing it from senior management</t>
  </si>
  <si>
    <t>Good pay when actually paid</t>
  </si>
  <si>
    <t>Long hours for low salary, long drive time with no reimbursement for gas or vehicle maintenance, poor installation and permit approval times, and you are forced to do things to people that are morally/ ethically questionable.</t>
  </si>
  <si>
    <t>Absolutely nothing to say here</t>
  </si>
  <si>
    <t>No space Broken machines Unsafe Management doesn't care about employees Long hours Ministry called in on multiple occasions Under staffed Workload is too much Not enough machinery Concerns are never dealt with</t>
  </si>
  <si>
    <t>Great opportunity to work one on one with students from diverse backgrounds, learning abilities/styles, personalities, with distinct educational /socio-emotional needs. One on one model allows you to see what strategies are effective/ineffective in a relatively short period of time, which is difficult in a large classroom setting. As you gain more experience teaching, and your knowledge and comfort level in your subject areas grow, and you can bring in resources/tools/learning platforms into your class, which you can use to expand on your craft. Ability to teach basically any class that you would want, is a good opportunity to get experience, especially when it comes to AP courses. There are many highly talented and hard working teachers who are very collaborative, supportive of each other and collegial. Opportunities exist to be an advisor in student groups/clubs during lunch, if one chooses.</t>
  </si>
  <si>
    <t>High Turnover: Very high teacher and front desk staff turnover. Little to no investment made in staff retention, described by upper administration  as a ‚Äústepping stone‚Äù job. High turnover creates lack of continuity for students, and constant loss of experienced and talented staff. School seems to either be in denial about this issue or not actually care/realize how such high amounts of staff turnover damages the schools capacity/ability/effectiveness to serve the vulnerable population of students that Tilden serves. The faculty page for the Albany and Walnut Creek campuses have been blank for months. 
Lack of Adequate Teacher Training: Very little training is given towards working with students with learning differences. The very limited teacher training that does exist (20 minutes, once a week, during teacher preparation time) is often topical due to limited time, and does not allow each topic the time and attention that it needs/deserves. Trainings seem to be targeted more toward satisfying reporting requirements rather than actually for the benefit of staff and students. 
Prep Time: An inadequate amount of  time is given for  preparation for one on one class instruction. 1 hour of preparation time is given for every 10 hours of instructional time which is paid at the reduced rate of  $20 an hour (which is well below the $32-$37 an hour pay range for teachers) This inadequacy and devalorization runs in contradiction to one of the schools main points of emphasis of  providing quality individualized instruction. Any class cancellations count against accrued preparation time. 
No Human Resources:  Disciplinary issues are currently handled by upper administration which is a conflict of interest if issues arise involving a member of the upper administrative team. There is an outside HR consultant that is called in at the discretion of upper administration. Day to day HR issues are handled by a member of upper administration who also handles employee benefits/health insurance questions/issues. 
Bullying/Unprofessional Behavior/Nepotism: There has been a long history of unprofessional, bullying and retaliatory behavior perpetuated by current members of the upper administrative team including those who are in charge of curriculum and HR/benefits, who for years has been able to comport themselves in this way with impunity. Numerous complaints (documented &amp;amp; verbal) have been made to the current founders of the school and other persons on the upper management leadership team for years to no effect. Instead, upper management  has acted to ignore, enable, excuse and cover up this behavior to the detriment of teachers, staff, and the school culture. Additionally, over the years many of the top leadership positions have been awarded not through merit and ability, but through a combination of nepotism and as a means to reward those who do not question /are not critical of the decisions made/ actions taken  by members of the upper management team. This encourages  pettiness, immaturity, vindictiveness, insecurity, gossip and insincerity to permeate through the upper levels of the school leadership. All of this creates an environment that is unproductive, toxic, incompetent and uncaring, which has greatly worsened in the last couple of years. 
Other Issues: 
Lack of real control / teacher feedback / collaboration in regards to the development of curriculum. 
No CFO or Controller exists within the school.  
Logistically, administratively and curriculum wise the school is consistently reactive instead of proactive.</t>
  </si>
  <si>
    <t>Beautiful office in Germantown  Wisconsin.</t>
  </si>
  <si>
    <t>Extremely toxic and difficult environment to work in. Under staffed departments with high turn over rate. HR notified numerous times about bullying in the workplace. Nothing was ever done to resolve the issues at hand. Stressful work environment. Worst year of my career. Thankful to getting out when I did.</t>
  </si>
  <si>
    <t>progressive industry, learned a lot</t>
  </si>
  <si>
    <t>overworked, burnout is rampant, management is very unresponsive/disorganized</t>
  </si>
  <si>
    <t>Over worked and very Low pay making it extra hard to increase salary once you start. Projects are organized until someone in the higher ups decides to steal people and move them onto other projects.</t>
  </si>
  <si>
    <t>Great work culture - good benefits</t>
  </si>
  <si>
    <t>Senior management has no clue what they are doing with the product</t>
  </si>
  <si>
    <t>Good Benefits, some good people to work with</t>
  </si>
  <si>
    <t>Dress Code, Overly secretive, Outdated job policies, very political in terms of job promotion, very restrictive trading of your own portfolio even if you aren't part of the research staff, rigid hours</t>
  </si>
  <si>
    <t>Probably none except the AL.</t>
  </si>
  <si>
    <t>You will be assigned the job which is totally out of your scope and the reason is your team member is not capable to complete the task they committed to.</t>
  </si>
  <si>
    <t>-Too much emphasis on outsourcing which does not work.. IT is a mess
-Managers micromanaging to the point where you're re-doing work unnecessarily
-Under resource teams to the point of exhaustion, little concern about mental health (1 day off for mental health awareness day does not make up for a year of mental strain)
-Promotions are for the imagination
-Senior leadership don't understand to the appropriate hierarchy levels
-Rotation scheme advertised on job application doesn't exist</t>
  </si>
  <si>
    <t>- The HR team is pretty good at responding and maintaining effective communication with the employee 
- The recruitment/onboarding team is above par in making the candidate onboarded by providing necessary instructions 
- The immigration team was knowledgeable and helped me getting H1B approval for a transfer petition even though I received an RFE for a critical factor
- Employees get good benefits from both health insurance that covers both dental, vision (have multiple options), offered 401K plan, and provided 13 days of PTO for an year which will get accrued for every pay cycle</t>
  </si>
  <si>
    <t>- Doesn‚Äôt have a well defined Marketing Team to find another job for a candidate soon when the project ends</t>
  </si>
  <si>
    <t>You get to see the directors and CEO threatening to sue the sales agents or managers if you speak anything that is opposite of what they want to hear. Agents getting terminated for trumped up charges is one of the best entertainment you can get here.
You also get to learn how to amortise a mortgage which is their main sales pitch to position themselves as Accountants. But I Guess they are not aware of Apps out there that explains their 30 min presentation in 15 seconds. But I digress. You will get to learn how a 1950s HP 12C calculator works. That‚Äôs quite rare in this digital age.</t>
  </si>
  <si>
    <t>I tried to boot lick my way to the top there. Backstabbed a few friends here and there. I even threatened my own agents who wanted to leave with a lawsuit as taught by my Boss. But alas, he still suspected me and schemed to wreck my finances and career. First he terminated my MDRT agent based on some lame charge. I guess I deserve it for making a deal with the devil</t>
  </si>
  <si>
    <t>Virtual environment/ work-from-home
Benefits
Culture
Vacation policy 
Bonus‚Äô off company profitability</t>
  </si>
  <si>
    <t>Frequent re-orgs
 Bad leadership
Lack of Growth Path/Opportunities</t>
  </si>
  <si>
    <t>Full remote, good benefits, no-micromanagement</t>
  </si>
  <si>
    <t>Org chart made it difficult to work with others outside of department, revolving door with upper management</t>
  </si>
  <si>
    <t>There are no Pros-- STEER CLEAR.</t>
  </si>
  <si>
    <t>Company that see's people in recovery as dollar signs- does nothing to give back to the SUD community. Multiple layoffs throughout the years proves leadership does not care about employees. Employees who were employed for years are either laid off, bullied out, or leave out of frustration because they are not being listened to.</t>
  </si>
  <si>
    <t>The people you work with</t>
  </si>
  <si>
    <t>Low pay, overworked, no support</t>
  </si>
  <si>
    <t>Working from home and quarterly bonuses.</t>
  </si>
  <si>
    <t>Management only told me I was not doing my job well as performance reviews so I never had the chance to improve.
Manager always blamed me for me not improving and never took accountability for their part in it. 
No REAL maternity leave just STD or LTD.</t>
  </si>
  <si>
    <t>discount, nice people, cool clothes</t>
  </si>
  <si>
    <t>overworked, did the work of multiple people and not compensated</t>
  </si>
  <si>
    <t>**EDIT: It says I have a negative view of the CEO, please note this was an error as I selected neutral (only because I did not have the opportunity to work closely with them) but it shows as 'negative'**
- The people are, without exception, some of the kindest, most empathetic and focused colleagues I've ever worked with. I always knew that any task someone was working on was going to be executed with maximum effort and care. 
- Solid and repeatable commercial model which incentivises 'good' behaviour and prioritises service efficacy
- Good focus on employee wellbeing
- Some truly remarkable successes and that's a testament to the model, the technology and the entire team. 
- A lot of trust from management enables a lot of great work that most don't even see.</t>
  </si>
  <si>
    <t>Overall, a very positive experience, most issues are going to be common for organisations this size and anyone joining will need an element of patience while the org grows into the sector, but that shouldn't dissuade anyone from joining. 
- Can feel a little too much like 'move fast and break things' at times
- Feedback is generally acted on, but sometimes not visibly or quickly - there's no faster way to lose trust than to make people feel like they're not listened to.
- Volume and pace of work forces team to be reactive more often than necessary... hiring has been a struggle (not unique to Beam) and a reason for this: If you think you'll need someone to do a job in a year, starting looking for them now.</t>
  </si>
  <si>
    <t>there are no pros at all they just treat you like use and throw material all they want is sale sale sale they are a very greedy people</t>
  </si>
  <si>
    <t>biggest con is they are fooling students by promising big big packages like 9 lpa and all but in reality they will be paying you around 20k per month that's all telling others are incentives that is performed based which eventually they will not pay you even if you have achieved the targets and the biggest scam of this company is that they start paying your salary in the next month after you have joined and before the salary date arrives they will terminate you without paying anything though you worked for 1 month they will terminate you within a month if you don't get enough sales for them and they wont even give you time to get adjusted to the the company environment my suggestion is to avoid joining this company and try to find some other job and i request the colleges too not to consider this company for the placement of the students because you will be literally ruining the students life</t>
  </si>
  <si>
    <t>Great product line and good service</t>
  </si>
  <si>
    <t>Very little growth opportunity. Not enough employees for the work load.</t>
  </si>
  <si>
    <t>Perks are typical to working in sports‚Ä¶games, tickets, gear, etc.
Time off around the holidays.</t>
  </si>
  <si>
    <t>Many believe that the pay is low because this is the sports industry. However, there is more than enough money to go around. Executives spend more money on dinners, alcohol and travel (often for themselves, not prospects/clients) than one can imagine. Before COVID they would travel on private/semi-private jets to daily/weekly meetings when this could be done over the phone/zoom. Money doesn‚Äôt seem to be a problem for this, yet they‚Äôre comfortable paying entry-level positions $30k/year.
Commissions is confusing and it comes down to the size of the book you inherit. If you have a small book, you can bring in a ton of money into the company and see only a fraction of a percent of that you brought in.
There are certainly perks with working in sports (tickets, meals, gear, etc.) however the technical ‚Äúbenefits‚Äù are pretty weak. There is no 401k match - I‚Äôve never seen a company of this size have zero 401k match. 
Corporate talks about how much of a "family" this company is all of the time, then they lay off a ton of people only to repost their jobs a few weeks later.</t>
  </si>
  <si>
    <t>Not many honestly. The office in New York is nice.</t>
  </si>
  <si>
    <t>Not sure where to begin. Management is horrible. Complete and utter disaster. Everything is reactionary, zero vision just sign the next contract. Every month it‚Äôs a new big initiative that everyone needs to drop everything and run to. But they also don‚Äôt communicate with teams so multiple teams are likely working on similar things. There‚Äôs been 4 reorgs in 6 months. Management continues to say we aren‚Äôt doing layoffs and shortly after there‚Äôs layoffs. In a company meeting to explain the last layoffs. The C Level told everyone this is how this company works, if you don‚Äôt like it ‚Ä¶ leave. There‚Äôs no job security in life so we aren‚Äôt going to try and rebuild the trust we lost by lying and laying folks off. (Clearly great leadership) Everything is constantly breaking because the company literally doesn‚Äôt care at all about quality. Their version of ‚Äúquality‚Äù is a slack channel where the CEO talks about if buttons are 1 or 2 pixels off. So everyone is fighting fires constantly. The tech is horribly outdated, and they do nothing to improve it because we have ‚Äúfeatures‚Äù that are more important. Directors and above do not care about engineers or managers. There is blatant favoritism, and the only way to move up. The CTO wants people to quit as a goal, to ‚Äúmake sure some roles are hard enough‚Äù. While the company constantly signs flashy new deals. The outlook for SeatGeek is very very poor, they won‚Äôt say it but everyone can see the writing on the wall. There is zero learning and development, culture is horrible. Everyone is over worked. Their version of culture is acting like frat boys and getting drunk after work every day. I could write for days on everything horrible with this company but what‚Äôs the point. Just don‚Äôt join this company. If you value yourself, have values or want any work life balance. Run. Run away. This company is in a death spiral that they cannot see, and too ignorant to listen to anyone telling them.</t>
  </si>
  <si>
    <t>Market leader and intrenational company</t>
  </si>
  <si>
    <t>big hierarchy, no big possibility for promotion. They prefer to take new people than to promote own loyal once</t>
  </si>
  <si>
    <t>Flexible working, can wear whatever you want, comfy sofas and breakout areas</t>
  </si>
  <si>
    <t>Management have no idea what they're doing and play favourites. Pay is very low and they freeze it just to buy other companies. Management is filled with pretty much only men. They SEO game isn't working as well as it used to, it is hard time for the business</t>
  </si>
  <si>
    <t>If you are talent and want to grow you have fight for yourself boldly otherwise you are ignored or cornered</t>
  </si>
  <si>
    <t>Work life balance
Learning opportunities 
Work environment is pretty awesome</t>
  </si>
  <si>
    <t>Product discounts on all items
Paid holiday every year</t>
  </si>
  <si>
    <t>Poor management and abusive environment
Primary goal was to not give away anything when a product is returned
Many corporate red tape</t>
  </si>
  <si>
    <t>1. For juniors and foreigners looking for a starting career in Singapore, this company is a good stepping stone; the company seems to prefer hiring low wage workers before and during the COVID-19 pandemic. However, this may change in 2023 as minium wages rise. The pattern for juniors and foreigners is to work about 1-2 years and switch to other company. See the cons for long-term career consideration in this company. 2. Diversity exists, but seems in a bad way (see cons). 3. There is annual company stock discount for all full-times. 4. There is online learning coverage for Udemy and Coursera. 5. Working culture is hybrid for non-critical businesses. Government business and manufacturing are still on-site. 6. Work-life balance is pretty good. There will be no WLB when deadlines are close though. 7. IT technology (VPN, automatic software updates, etc) is good enough.</t>
  </si>
  <si>
    <t>1. Salary is below the market average, yet job roles can be demanding. However, this may change in 2023 as minium wages rise. 2. Diversity, mostly are Indonesian, Filipino, Indian, Vietnamese, is likely due to the above point. My previous project leader who was a fresh grad from Indonesia university was pissed off knowing my starting salary was higher than his. 3. Promotion is based on both seniority and pleasing the management / French people rather than merits / skills. The effect is brilliant people leave after about 2-3 years of working and those in technical and management roles are filled with the average or bad ones. 4. Turnover rate is high and this company even gives 2000 SGD for a successful candidate hiring recommendation, close to what this company gives for a successful patent (1000-1500 EUR). 5. There are several high-ego managers and toxic colleagues. Sabotage and backstabbing do exist and you will be hardly be able to protect yourself when dealing with these toxic people. See point 3 on why this is happening. 6. Codebase for development, production, and unit test code are chaotic. It gives headache just to read them and make you think everyone in this company is an amateur at best. See point 3 on why this is happening. 7. Project leaders and managers do not strive for good development practice. Code refactoring is treated as a burden and unprofessional, coding shortcuts are perceived as brilliant and professional, and most teams have their agile development as just "being agile" with short daily stand-up as 1-1-5 hour daily reporting. See point 3 on why this is happening. 8. Most French colleagues I have worked with are cunning, self-entitled, and arrogant towards Asian. Some of them (expats) is incompetent and they make themselves as the most impactful contributor. Yet, they have the highest salary among locals. They mostly appear nice, which is why it is hard to identify this issue. 9. Politics are strong in higher managements, especially if it is related to French people. 10. Not many brilliant people to work with and the experts' expertise are questionable. This is a cybersecurity company focused on applied cryptography and yet, most people inside do not have strong cryptography knowledge. Nobody even cares good software development practice. 11. There is not much career progression for higher positions. 12. Health insurance coverages are average; no dental and annual health screening coverage. 13. The HR technology is bad. HR uses Workday for performance review and company structure, but other than that, it uses Oracle technology (as far as I remember). Critical aspects such as claiming benefits, downloading payrolls, applying leaves, filling monthly check-ins become hellish. 14. Never trust anonymous survey as being anonymous no matter what the managements say. I have had my hard lesson.</t>
  </si>
  <si>
    <t>Opportunity for growth, work location is very versatile</t>
  </si>
  <si>
    <t>Expensive benefits, pay is low-balled if you don‚Äôt negotiate, micromanagement is exercised from the top down, hyper-inflated egos of certain leaders, inconsiderate boss who is far from impartial and less than fair, laughable reps and practices, no sense of TEAM, different management attention and treatment for different associates, non-involved execs, supervisors will ignore you in petty fashion for giving notice to resign then harass you after you leave the company. Upper management is routinely dishonest with clients (and will do everything to stop you from exposing it).</t>
  </si>
  <si>
    <t>Food at subsidized rates
Office shuttle
Good work life balance
Company support you during uncertain times( as long as you have not resigned)</t>
  </si>
  <si>
    <t>Some departments works like indian govt office. Where talking is prevalent than any doing impactful work
Some dept have uncles who likes to teach you morals instead of actually working.
Legacy system and code to work on
You lose trust from your employer in your notice period. You will not be given diwali gift during your notice period. Such a low mindset HR policy
No work from home, people are forced to come to office</t>
  </si>
  <si>
    <t>good salary; IF you're lucky, good immediate supervisor</t>
  </si>
  <si>
    <t>Not going to bash anyone. It's just not the same since it was bought out by Unitedhealthcare. Went from being a valued person to just another employee number on a spreadsheet.</t>
  </si>
  <si>
    <t>Some co-workers are nice, good products</t>
  </si>
  <si>
    <t>Bad management, terrible response to covid, no raises, toxic work environment</t>
  </si>
  <si>
    <t>great people, amazing office space</t>
  </si>
  <si>
    <t>under paid, lack of promotions, extreme favoritism, toxic management that somehow managed to play itself as the victum</t>
  </si>
  <si>
    <t>Great people to work with. Great bonuses.</t>
  </si>
  <si>
    <t>Numbers driven which leads to not caring of their employees (made "overtime" as a solution for their lots of tickets. Employees are overworked.)</t>
  </si>
  <si>
    <t>Weekends off, they always buy lunch</t>
  </si>
  <si>
    <t>Avery is so out of touch with the times there are people who have been with the company 20+ years and they are very protective of their roles.Progressive Mindsets never win.
They laid off employees That have been with the company 4years + just to hire temps.</t>
  </si>
  <si>
    <t>Refreshments in the kitchen is nice</t>
  </si>
  <si>
    <t>Toxic culture
Senior Management unsupportive, new employees are more friendly and supportive</t>
  </si>
  <si>
    <t>generous
bonuses
learnings
career growth</t>
  </si>
  <si>
    <t>too much overtime 
work until 12 pm</t>
  </si>
  <si>
    <t>IT is Out of Control</t>
  </si>
  <si>
    <t>Great Company to work with</t>
  </si>
  <si>
    <t>Great</t>
  </si>
  <si>
    <t>Vodafone is an Egotistical Company that only cares about its net promoter score</t>
  </si>
  <si>
    <t>Great company, poor processes, high expectations</t>
  </si>
  <si>
    <t>Commercial Product Internship</t>
  </si>
  <si>
    <t>Failing Product &amp; Failing Management</t>
  </si>
  <si>
    <t>Regrettable Experience - A Workplace To Be Wary Of</t>
  </si>
  <si>
    <t>HR is a joke</t>
  </si>
  <si>
    <t>Worst company</t>
  </si>
  <si>
    <t>Don't expect to advance at your home store</t>
  </si>
  <si>
    <t>Worse Company Ever</t>
  </si>
  <si>
    <t>Digital Sales Irving TX is a mixed bag</t>
  </si>
  <si>
    <t>Please look elsewhere.</t>
  </si>
  <si>
    <t>Sorry Microsoft - crummy place to work</t>
  </si>
  <si>
    <t>You feel very disposable</t>
  </si>
  <si>
    <t>Benefit is ok</t>
  </si>
  <si>
    <t>The worst place you'll ever work!!!</t>
  </si>
  <si>
    <t>Horrendous management</t>
  </si>
  <si>
    <t>No help, long hours, miserable enviornment</t>
  </si>
  <si>
    <t>Know what you're getting in to</t>
  </si>
  <si>
    <t>Best Professional Growth and Development</t>
  </si>
  <si>
    <t>Great company ruined by horrible management</t>
  </si>
  <si>
    <t>Great place to learn, bad place to work.</t>
  </si>
  <si>
    <t>High Turnover for a reason</t>
  </si>
  <si>
    <t>Good</t>
  </si>
  <si>
    <t>Your job is in the hands of drunk, stoned, or angry passengers. And you expect good judgment from them?</t>
  </si>
  <si>
    <t>Terrible company to work for</t>
  </si>
  <si>
    <t>Save your Mental Health</t>
  </si>
  <si>
    <t>Wonderful company</t>
  </si>
  <si>
    <t>Poor Management</t>
  </si>
  <si>
    <t>High School Revisited</t>
  </si>
  <si>
    <t>Leadership Lacks Integrity</t>
  </si>
  <si>
    <t>Work hard, avoid drama</t>
  </si>
  <si>
    <t>One of the top employers hands down</t>
  </si>
  <si>
    <t>Review for Mcdonalds</t>
  </si>
  <si>
    <t>Solid place to work</t>
  </si>
  <si>
    <t>Good Company</t>
  </si>
  <si>
    <t>it was good</t>
  </si>
  <si>
    <t>Stay Far Away</t>
  </si>
  <si>
    <t>Great Company</t>
  </si>
  <si>
    <t>Shambolic mid to senior management</t>
  </si>
  <si>
    <t>Company Review</t>
  </si>
  <si>
    <t>Good Experience overall</t>
  </si>
  <si>
    <t>DONT APPLY HERE</t>
  </si>
  <si>
    <t>You will work hard and not get paid that much</t>
  </si>
  <si>
    <t>Meilleur</t>
  </si>
  <si>
    <t>Not the worst place, but stale, outdated and not very efficient</t>
  </si>
  <si>
    <t>Safe, boring, non existant growth</t>
  </si>
  <si>
    <t>Solid</t>
  </si>
  <si>
    <t>Run</t>
  </si>
  <si>
    <t>interview</t>
  </si>
  <si>
    <t>Took away money and opportunities</t>
  </si>
  <si>
    <t>Not a bad job</t>
  </si>
  <si>
    <t>Good pay/benefits</t>
  </si>
  <si>
    <t>Meh</t>
  </si>
  <si>
    <t>Avis</t>
  </si>
  <si>
    <t>Infra ops PM</t>
  </si>
  <si>
    <t>Great company to work but very little growth</t>
  </si>
  <si>
    <t>Not bad</t>
  </si>
  <si>
    <t>Customer service</t>
  </si>
  <si>
    <t>Collections Associate at Verizon (landline division)</t>
  </si>
  <si>
    <t>Patheti c  .25 cent raise after working during covid 19</t>
  </si>
  <si>
    <t>THE WORST PLACE TO WORK !</t>
  </si>
  <si>
    <t>Not worth the abusive treatment</t>
  </si>
  <si>
    <t>Great Company Who Cares About Employees</t>
  </si>
  <si>
    <t>Great place to work pending your manager</t>
  </si>
  <si>
    <t>This is a good job if you‚Äôre trying to move up to a better position with another job. I left because of burnout.</t>
  </si>
  <si>
    <t>un-supportive</t>
  </si>
  <si>
    <t>Stability</t>
  </si>
  <si>
    <t>If you want to make money‚Ä¶</t>
  </si>
  <si>
    <t>Do not lay off pregnant women and take harassment and bullying seriously</t>
  </si>
  <si>
    <t>Don't do it</t>
  </si>
  <si>
    <t>Not what you think</t>
  </si>
  <si>
    <t>Here people work for Overtime and money only</t>
  </si>
  <si>
    <t>Do youself a favor - RUN!</t>
  </si>
  <si>
    <t>salary</t>
  </si>
  <si>
    <t>Does Not Honor their Mission statement and Values</t>
  </si>
  <si>
    <t>Great People but Terrible Leadership/Business Outlook</t>
  </si>
  <si>
    <t>Enjoyed Working for AntWorks</t>
  </si>
  <si>
    <t>Top Heavy Company</t>
  </si>
  <si>
    <t>Terrible management</t>
  </si>
  <si>
    <t>The company is stagnant.</t>
  </si>
  <si>
    <t>Rectangle Health</t>
  </si>
  <si>
    <t>Very toxic company</t>
  </si>
  <si>
    <t>avoid at all cost!</t>
  </si>
  <si>
    <t>Good company, not so good to work for</t>
  </si>
  <si>
    <t>Not a bad place to sharpen your skills</t>
  </si>
  <si>
    <t>Company with a heart</t>
  </si>
  <si>
    <t>Poor leadership</t>
  </si>
  <si>
    <t>I enjoyed working at Merck until my department was OUTSOURCED to India.  Seems to be the trend.</t>
  </si>
  <si>
    <t>I good company in general</t>
  </si>
  <si>
    <t>PUntuaci√≥n</t>
  </si>
  <si>
    <t>Project lead</t>
  </si>
  <si>
    <t>Okay job, ruined by poor leadership</t>
  </si>
  <si>
    <t>Learning Opportunity</t>
  </si>
  <si>
    <t>√â excelente pra in√≠cio de carreira</t>
  </si>
  <si>
    <t>Analista Pleno</t>
  </si>
  <si>
    <t>Treat CSR terrible</t>
  </si>
  <si>
    <t>Good Experience</t>
  </si>
  <si>
    <t>Disgusting lack of leadership across nearly all band levels.</t>
  </si>
  <si>
    <t>Good company to work for</t>
  </si>
  <si>
    <t>Review of oracle</t>
  </si>
  <si>
    <t>Not conducive</t>
  </si>
  <si>
    <t>not good if u r fresher but good for experienced guys coz of handsome salary</t>
  </si>
  <si>
    <t>They rejected me after giving offer letter as a fresher after 2 months. Never trust this company again.</t>
  </si>
  <si>
    <t>Burnout guaranteed</t>
  </si>
  <si>
    <t>Great Opportunities, Great People</t>
  </si>
  <si>
    <t>Talent Manager</t>
  </si>
  <si>
    <t>Stay away with this company. Someone in past wrote very true that they lie and manupulate</t>
  </si>
  <si>
    <t>Expect grad culture. Not a good thing. Mumbai Technology.</t>
  </si>
  <si>
    <t>Bonne exp√©rience</t>
  </si>
  <si>
    <t>Don't join</t>
  </si>
  <si>
    <t>Good old boys club</t>
  </si>
  <si>
    <t>Financial advisor</t>
  </si>
  <si>
    <t>Too Big</t>
  </si>
  <si>
    <t>Bad</t>
  </si>
  <si>
    <t>Cross Border Morgage Advisor</t>
  </si>
  <si>
    <t>Liars, scammers, or frauds-- hard to tell which one</t>
  </si>
  <si>
    <t>Enjoyable time</t>
  </si>
  <si>
    <t>Lacks good leadership</t>
  </si>
  <si>
    <t>Poor management and women are not treated well</t>
  </si>
  <si>
    <t>Do not value employees</t>
  </si>
  <si>
    <t>Terrible experience overall - do not recommend!</t>
  </si>
  <si>
    <t>NHS Blood campaign</t>
  </si>
  <si>
    <t>Too good to work</t>
  </si>
  <si>
    <t>Teaching ARTIFICIAL INTELLIGENCE</t>
  </si>
  <si>
    <t>Avoid</t>
  </si>
  <si>
    <t>Humiliation all around</t>
  </si>
  <si>
    <t>Terrible place</t>
  </si>
  <si>
    <t>Underpaid and Understaffed</t>
  </si>
  <si>
    <t>Terrible upper management made work frustrating</t>
  </si>
  <si>
    <t>Yet another Service Based company calling itself a Product based company</t>
  </si>
  <si>
    <t>Zero wasn't an option</t>
  </si>
  <si>
    <t>Group Internal Consulting (GIC)</t>
  </si>
  <si>
    <t>One of the worst MNC to work for... one of the mistakes of my life</t>
  </si>
  <si>
    <t>A good place to work despite a few characters</t>
  </si>
  <si>
    <t>You have to work to get the rewards</t>
  </si>
  <si>
    <t>Bad place to work</t>
  </si>
  <si>
    <t>Sueldo</t>
  </si>
  <si>
    <t>Great CEO, other execs...not so much</t>
  </si>
  <si>
    <t>Fast Growing Company With a Lot of Opportunity for Growth</t>
  </si>
  <si>
    <t>Manage merch team and supervisor of sales</t>
  </si>
  <si>
    <t>meh</t>
  </si>
  <si>
    <t>Unfair termination</t>
  </si>
  <si>
    <t>Rough Times- Do not recommend</t>
  </si>
  <si>
    <t>Not Bad, could be Good but can never be Great</t>
  </si>
  <si>
    <t>CSR / Travel Sales Associate Experience</t>
  </si>
  <si>
    <t>Excellent Company</t>
  </si>
  <si>
    <t>Stuck in the past</t>
  </si>
  <si>
    <t>Fired after 2 weeks, signed on to a "year long contract"</t>
  </si>
  <si>
    <t>One Big Clique</t>
  </si>
  <si>
    <t>Started off great and then went downhill.</t>
  </si>
  <si>
    <t>Don‚Äôt do it</t>
  </si>
  <si>
    <t>Do not work here</t>
  </si>
  <si>
    <t>USAA Senior</t>
  </si>
  <si>
    <t>Decent place</t>
  </si>
  <si>
    <t>High-Turnover</t>
  </si>
  <si>
    <t>Professional Catfish</t>
  </si>
  <si>
    <t>Most  degrading company I ever worked for</t>
  </si>
  <si>
    <t>Direction is Lacking</t>
  </si>
  <si>
    <t>It was a bad experience</t>
  </si>
  <si>
    <t>CTO</t>
  </si>
  <si>
    <t>Great W/L Balance with lots of development opportunities</t>
  </si>
  <si>
    <t>Stuck in the same position</t>
  </si>
  <si>
    <t>bad experience</t>
  </si>
  <si>
    <t>Join only if you have no other offers</t>
  </si>
  <si>
    <t>Fun Job</t>
  </si>
  <si>
    <t>Awful</t>
  </si>
  <si>
    <t>Chaotic</t>
  </si>
  <si>
    <t>Some Good Apples however, the roots are rotten!!!</t>
  </si>
  <si>
    <t>Looks aren‚Äôt always as the appear</t>
  </si>
  <si>
    <t>Stressful environment, would not recommend</t>
  </si>
  <si>
    <t>Mixed messages on objectives</t>
  </si>
  <si>
    <t>People managing the departments suck.</t>
  </si>
  <si>
    <t>Do not consider them.</t>
  </si>
  <si>
    <t>All bad reviews are true, even the old old ones, apperently they have been the same for a while! Stay away!!!</t>
  </si>
  <si>
    <t>Great team, learned a lot, upper management is chaos.</t>
  </si>
  <si>
    <t>Started Good, Ended Poorly</t>
  </si>
  <si>
    <t>TP Portugal</t>
  </si>
  <si>
    <t>Feedback for customer care</t>
  </si>
  <si>
    <t>How is it working with TP</t>
  </si>
  <si>
    <t>Nice if you want to move, but there is a mental price tag.</t>
  </si>
  <si>
    <t>Fantastic experience</t>
  </si>
  <si>
    <t>Great, Innovative Company</t>
  </si>
  <si>
    <t>Team Leader - Teleperformance</t>
  </si>
  <si>
    <t>Not A Company Who values their employees.</t>
  </si>
  <si>
    <t>It's not all fancy how it's portrayed.</t>
  </si>
  <si>
    <t>Nice work environment but less pay</t>
  </si>
  <si>
    <t>sort sort sort</t>
  </si>
  <si>
    <t>?</t>
  </si>
  <si>
    <t>Internal project work culture is toxic</t>
  </si>
  <si>
    <t>Ok place</t>
  </si>
  <si>
    <t>A good process and regulation based banking organisation</t>
  </si>
  <si>
    <t>xyz</t>
  </si>
  <si>
    <t>Worst place to work, terrible culture, toxic work environment</t>
  </si>
  <si>
    <t>Okay</t>
  </si>
  <si>
    <t>Overall Good Work life Balance</t>
  </si>
  <si>
    <t>Good place work</t>
  </si>
  <si>
    <t>Good place to start</t>
  </si>
  <si>
    <t>Demanding</t>
  </si>
  <si>
    <t>Private Banking Career</t>
  </si>
  <si>
    <t>Worst company to work with</t>
  </si>
  <si>
    <t>Great company</t>
  </si>
  <si>
    <t>great job</t>
  </si>
  <si>
    <t>DO NOT WORK FOR THEM UNLESS YOU HATE YOURSELF</t>
  </si>
  <si>
    <t>Chevron Restructuring</t>
  </si>
  <si>
    <t>Avoid at all cost unless you like ripping people off</t>
  </si>
  <si>
    <t>Management Makes or Breaks it</t>
  </si>
  <si>
    <t>Struggling Organization</t>
  </si>
  <si>
    <t>Absolutely horrible experience! Don‚Äôt waste your time!</t>
  </si>
  <si>
    <t>Drink the Kool Aid or leave, free thinkers need not apply.</t>
  </si>
  <si>
    <t>Toxic</t>
  </si>
  <si>
    <t>Probably the least enjoyable bank to work for</t>
  </si>
  <si>
    <t>Ok just ok</t>
  </si>
  <si>
    <t>Merged with TRPC Retirement Plan Company and now the employees are treated as simply assets without any job security.</t>
  </si>
  <si>
    <t>Is that all there is?</t>
  </si>
  <si>
    <t>Okay place to work</t>
  </si>
  <si>
    <t>Very bad management.</t>
  </si>
  <si>
    <t>Poor management and Poor HR</t>
  </si>
  <si>
    <t>Great benefit for part-time worker too</t>
  </si>
  <si>
    <t>Stay away from Siemens Government! Undervalued, underpaid, disorganized!</t>
  </si>
  <si>
    <t>Theres tradition and theres downright old fashioned</t>
  </si>
  <si>
    <t>Spoiled my 3 years</t>
  </si>
  <si>
    <t>Run for your life</t>
  </si>
  <si>
    <t>Right hand doesn't know what the left hand doing</t>
  </si>
  <si>
    <t>Great place to work</t>
  </si>
  <si>
    <t>Mis Managed, unsustainable, unstable</t>
  </si>
  <si>
    <t>Stay Away</t>
  </si>
  <si>
    <t>Rollercoaster</t>
  </si>
  <si>
    <t>A company in total disarray, run very far away very very fast</t>
  </si>
  <si>
    <t>Good place but lots of headache</t>
  </si>
  <si>
    <t>Work environment</t>
  </si>
  <si>
    <t>Weak leadership and deep-rooted problems</t>
  </si>
  <si>
    <t>The worst kind of hypocrisy</t>
  </si>
  <si>
    <t>Good money‚Ä¶. No family life</t>
  </si>
  <si>
    <t>Save yourself</t>
  </si>
  <si>
    <t>Great company to work for especially as your first job into the work force.</t>
  </si>
  <si>
    <t>Leadership</t>
  </si>
  <si>
    <t>Growth at the beginning, then toxic and stressful afterwards</t>
  </si>
  <si>
    <t>P&amp;amp;G was great, locations weren't for me</t>
  </si>
  <si>
    <t>good</t>
  </si>
  <si>
    <t>Marketing</t>
  </si>
  <si>
    <t>Incroyable</t>
  </si>
  <si>
    <t>Not Recommended</t>
  </si>
  <si>
    <t>malo</t>
  </si>
  <si>
    <t>Shambles - just look elsewhere</t>
  </si>
  <si>
    <t>Best management And company</t>
  </si>
  <si>
    <t>cash applications</t>
  </si>
  <si>
    <t>CFS Specialist</t>
  </si>
  <si>
    <t>Don‚Äôt work here</t>
  </si>
  <si>
    <t>No Maker and checker on day to day decisions</t>
  </si>
  <si>
    <t>Samsung is not an opportunity</t>
  </si>
  <si>
    <t>Tall Poppies Get Cut Down, and Don't Get Covid</t>
  </si>
  <si>
    <t>Mixed</t>
  </si>
  <si>
    <t>Covid-19 sucks</t>
  </si>
  <si>
    <t>Used to be a great company</t>
  </si>
  <si>
    <t>Average</t>
  </si>
  <si>
    <t>Relationship manager Operations Marketing Bank Branded cards</t>
  </si>
  <si>
    <t>Decent mid-sized Government Contractor</t>
  </si>
  <si>
    <t>Good company to work at</t>
  </si>
  <si>
    <t>Feel let down by this company big time, makes the motor trade look awesome!!!!!!</t>
  </si>
  <si>
    <t>Toxic Leadership and Unable to Drive Change</t>
  </si>
  <si>
    <t>Too big, too slow</t>
  </si>
  <si>
    <t>Challenging Work; Crazy Environment; No Management Support</t>
  </si>
  <si>
    <t>It's a job</t>
  </si>
  <si>
    <t>High turnover</t>
  </si>
  <si>
    <t>Broken Privacy</t>
  </si>
  <si>
    <t>Work hard unappreciated</t>
  </si>
  <si>
    <t>Excellent company and very good management.</t>
  </si>
  <si>
    <t>Worst place to work. Say they are all about ‚ÄúPeople and Culture‚Äù but it is all
Lies.</t>
  </si>
  <si>
    <t>It was okay work</t>
  </si>
  <si>
    <t>Lies and low pay are the S.O.P</t>
  </si>
  <si>
    <t>Think well before you commit</t>
  </si>
  <si>
    <t>Utter Disappointment</t>
  </si>
  <si>
    <t>good enivornment</t>
  </si>
  <si>
    <t>Bullies</t>
  </si>
  <si>
    <t>Management is running this company into a ditch!</t>
  </si>
  <si>
    <t>Big dream, but just a dream</t>
  </si>
  <si>
    <t>Not like the Company at all.</t>
  </si>
  <si>
    <t>Nice job for freshers</t>
  </si>
  <si>
    <t>BAD</t>
  </si>
  <si>
    <t>Overpromised and underdelivered on company culture</t>
  </si>
  <si>
    <t>Outstanding company with great growth potential</t>
  </si>
  <si>
    <t>.</t>
  </si>
  <si>
    <t>Will bring out all the worst in you</t>
  </si>
  <si>
    <t>3 years of experience, multi tasking, interested in technology.</t>
  </si>
  <si>
    <t>Excellent company, bring your gusto to make your own success</t>
  </si>
  <si>
    <t>Run away from this sinking ship</t>
  </si>
  <si>
    <t>Run far away</t>
  </si>
  <si>
    <t>Congradulations on COVID vaccine</t>
  </si>
  <si>
    <t>A Working Nightmare Because of Regional</t>
  </si>
  <si>
    <t>Unequal pay</t>
  </si>
  <si>
    <t>Amazing and fascinating experience that shaped my career</t>
  </si>
  <si>
    <t>Great Agency to Learn and Grow</t>
  </si>
  <si>
    <t>Horrible</t>
  </si>
  <si>
    <t>Downward Spiral from a Great Thing</t>
  </si>
  <si>
    <t>Avoid Newsy</t>
  </si>
  <si>
    <t>Good Part Time Job</t>
  </si>
  <si>
    <t>Will work you to death</t>
  </si>
  <si>
    <t>Run by perfectionist</t>
  </si>
  <si>
    <t>Great stepping stone</t>
  </si>
  <si>
    <t>Just Don't Do It</t>
  </si>
  <si>
    <t>Fine but nothing special</t>
  </si>
  <si>
    <t>Revolving Door</t>
  </si>
  <si>
    <t>Worst organization ever.</t>
  </si>
  <si>
    <t>Good Overall Company but Bad Bennefits</t>
  </si>
  <si>
    <t>My 1Path Experience</t>
  </si>
  <si>
    <t>Lighting Decor specialist, finding the right product that would suit the customers needs, with a positive attitude</t>
  </si>
  <si>
    <t>Working for CAT</t>
  </si>
  <si>
    <t>Finance</t>
  </si>
  <si>
    <t>Great Company to work for</t>
  </si>
  <si>
    <t>Tesla Owner Advisor</t>
  </si>
  <si>
    <t>Bad place to work, people come and go because toxicity of managers and team leaders.</t>
  </si>
  <si>
    <t>Good if you play the game</t>
  </si>
  <si>
    <t>It served it's purpose, I learned about the transportation industry.</t>
  </si>
  <si>
    <t>Family atmosphere</t>
  </si>
  <si>
    <t>Terrible Unscrupulous Business Practices</t>
  </si>
  <si>
    <t>Always keep an eye out for a new job</t>
  </si>
  <si>
    <t>Entreprise qui doit r√©inventer sa gestion et s'adapter √† l'air du temps</t>
  </si>
  <si>
    <t>Too corporate</t>
  </si>
  <si>
    <t>Company Culture</t>
  </si>
  <si>
    <t>Awesome place to work!</t>
  </si>
  <si>
    <t>TF is Brilliant</t>
  </si>
  <si>
    <t>Overall Fine</t>
  </si>
  <si>
    <t>Verizon's workplace experience</t>
  </si>
  <si>
    <t>Not a great place</t>
  </si>
  <si>
    <t>It's an OK place to work</t>
  </si>
  <si>
    <t>Great company, lots of opportunities</t>
  </si>
  <si>
    <t>Constant flow of calls everyday</t>
  </si>
  <si>
    <t>Teller</t>
  </si>
  <si>
    <t>Salary</t>
  </si>
  <si>
    <t>Cool place</t>
  </si>
  <si>
    <t>Good company</t>
  </si>
  <si>
    <t>Beware Inarticulate Bosses</t>
  </si>
  <si>
    <t>Bad pay but easy job</t>
  </si>
  <si>
    <t>Great potential, does not deliver</t>
  </si>
  <si>
    <t>IT Systems Administrator</t>
  </si>
  <si>
    <t>Great Work Place</t>
  </si>
  <si>
    <t>Commercial Director</t>
  </si>
  <si>
    <t>Horrible Job multiple OSHA violations</t>
  </si>
  <si>
    <t>A Mess</t>
  </si>
  <si>
    <t>Fake Company</t>
  </si>
  <si>
    <t>Unfortunate Waste of 6 of my Best Career Years</t>
  </si>
  <si>
    <t>Experience at Accenture</t>
  </si>
  <si>
    <t>Volatile Company</t>
  </si>
  <si>
    <t>Great company for some</t>
  </si>
  <si>
    <t>Unprofessional workplace</t>
  </si>
  <si>
    <t>Great Pay, Poor Culture</t>
  </si>
  <si>
    <t>Wouldn't be my 1st choice.</t>
  </si>
  <si>
    <t>Id rather stick foot in a blender and eat a foot smoothie for lunch than go back to XLN</t>
  </si>
  <si>
    <t>If you want to lose your work ethics and integrity this is the place!</t>
  </si>
  <si>
    <t>Great Job, Great Atmosphere, But Job Security Isn't Great</t>
  </si>
  <si>
    <t>A company that hires incredible people</t>
  </si>
  <si>
    <t>Company that believe in growing together with it's employee</t>
  </si>
  <si>
    <t>Manager</t>
  </si>
  <si>
    <t>Lots of resources, little respect for individuals' contributions</t>
  </si>
  <si>
    <t>Treasury</t>
  </si>
  <si>
    <t>Not the first line company founded by Colonel Lilly anymore</t>
  </si>
  <si>
    <t>Gain experience for a year or two and then move on</t>
  </si>
  <si>
    <t>It‚Äôs the civil service</t>
  </si>
  <si>
    <t>Great growth opportunities!</t>
  </si>
  <si>
    <t>Not what I expected</t>
  </si>
  <si>
    <t>corporate, safe but it‚Äôs all about the partners</t>
  </si>
  <si>
    <t>Good Pay, Bad Behavior</t>
  </si>
  <si>
    <t>Fun place to work</t>
  </si>
  <si>
    <t>Dedicated employees, performative executive leadership with little integrity.</t>
  </si>
  <si>
    <t>Best place</t>
  </si>
  <si>
    <t>Not a place for recent grads!</t>
  </si>
  <si>
    <t>Systemic problems in IT</t>
  </si>
  <si>
    <t>Micro Management</t>
  </si>
  <si>
    <t>REX  has failed..</t>
  </si>
  <si>
    <t>Not recommended</t>
  </si>
  <si>
    <t>Simply Put - A Bad Place to Work</t>
  </si>
  <si>
    <t>Great People, Poor Management</t>
  </si>
  <si>
    <t>Save your life, Abort! Abort! Do not join even if it your last option</t>
  </si>
  <si>
    <t>Great Firm!</t>
  </si>
  <si>
    <t>Negative reviews are 100% accurate</t>
  </si>
  <si>
    <t>Be Careful it's all smoke and mirror.</t>
  </si>
  <si>
    <t>Joke</t>
  </si>
  <si>
    <t>Condescending owner</t>
  </si>
  <si>
    <t>Terrible upper management</t>
  </si>
  <si>
    <t>Fantastic Company, Amazing People</t>
  </si>
  <si>
    <t>CORPORATE COMPANY DISGUISED BY GREEN WASHING</t>
  </si>
  <si>
    <t>Bad Management</t>
  </si>
  <si>
    <t>Never work here</t>
  </si>
  <si>
    <t>Tge whole hierarchy needs to be reallocated!!</t>
  </si>
  <si>
    <t>Toxic, nightmare CEO</t>
  </si>
  <si>
    <t>2 Years of Slavery</t>
  </si>
  <si>
    <t>Lying about pay</t>
  </si>
  <si>
    <t>Interesting Work, Great Colleagues, Terrific Developmental Opportunities</t>
  </si>
  <si>
    <t>Grill-fry and Line</t>
  </si>
  <si>
    <t>Not the best</t>
  </si>
  <si>
    <t>Toxic culture</t>
  </si>
  <si>
    <t>Decent, but not an awesome place for an engineer.</t>
  </si>
  <si>
    <t>No a good company</t>
  </si>
  <si>
    <t>well-operated company</t>
  </si>
  <si>
    <t>Good People - Poor Management</t>
  </si>
  <si>
    <t>Shift in culture that was not organic but seemed forced/staged</t>
  </si>
  <si>
    <t>Toxic!!! View the photos - 1/2 people have been terminated! Half quit!!</t>
  </si>
  <si>
    <t>It‚Äôs a disaster</t>
  </si>
  <si>
    <t>Fraud company, personal experience, they will not even pay you the half of the promised stipend, I have all the proofs.</t>
  </si>
  <si>
    <t>Do Not Recommend</t>
  </si>
  <si>
    <t>Small agency without some benefits</t>
  </si>
  <si>
    <t>HORRIFYINGLY TERRIBLE. DO NOT WORK HERE</t>
  </si>
  <si>
    <t>Great Place for Learning and Advancement</t>
  </si>
  <si>
    <t>Overworked</t>
  </si>
  <si>
    <t>Young &amp;amp; Inexperienced Management</t>
  </si>
  <si>
    <t>It's Difficult to be Talented at Ingram</t>
  </si>
  <si>
    <t>You will learn a lot about being a leader, and how to work with others</t>
  </si>
  <si>
    <t>Sales</t>
  </si>
  <si>
    <t>Don't work there.</t>
  </si>
  <si>
    <t>Inhumane, Painful and humiliating</t>
  </si>
  <si>
    <t>WOW....</t>
  </si>
  <si>
    <t>Great culture but the company can do better</t>
  </si>
  <si>
    <t>Don‚Äôt Do It</t>
  </si>
  <si>
    <t>Pockets of Greatness</t>
  </si>
  <si>
    <t>Broken people in a broken workplace</t>
  </si>
  <si>
    <t>Long Hours, Tight Pay, No Loyalty</t>
  </si>
  <si>
    <t>Law Breakers</t>
  </si>
  <si>
    <t>If your a processor thinking your going to process here - NOPE. This is a call center.</t>
  </si>
  <si>
    <t>Underpaid and undervalued</t>
  </si>
  <si>
    <t>Not recommending anyone to apply</t>
  </si>
  <si>
    <t>Nice place to work unless you are working under a specific manager.</t>
  </si>
  <si>
    <t>Lideran√ßa despreparada, empresa arcaica sem humanidade</t>
  </si>
  <si>
    <t>Avoid unless you like chop shops</t>
  </si>
  <si>
    <t>Good Pay, Not a great environment</t>
  </si>
  <si>
    <t>Door to door Sales</t>
  </si>
  <si>
    <t>poor leadership</t>
  </si>
  <si>
    <t>Get paid to do nothing!</t>
  </si>
  <si>
    <t>Not Worth It</t>
  </si>
  <si>
    <t>Get your foot in the door, then GTFO</t>
  </si>
  <si>
    <t>Petty and unprofessional</t>
  </si>
  <si>
    <t>treat employee like a number</t>
  </si>
  <si>
    <t>Worst culture and leadership</t>
  </si>
  <si>
    <t>Wouldn't Do It Again</t>
  </si>
  <si>
    <t>Design for drawbridges</t>
  </si>
  <si>
    <t>An honest truth for my time with WPG</t>
  </si>
  <si>
    <t>Cult-like Envronment</t>
  </si>
  <si>
    <t>Disorganized company</t>
  </si>
  <si>
    <t>Food Tech</t>
  </si>
  <si>
    <t>Seems like a good place to work, but...</t>
  </si>
  <si>
    <t>Cut throat culture</t>
  </si>
  <si>
    <t>Analytics</t>
  </si>
  <si>
    <t>Administrative Secretary</t>
  </si>
  <si>
    <t>Unhealthy work environment,terrible middle management and no tech culture</t>
  </si>
  <si>
    <t>Not for everyone</t>
  </si>
  <si>
    <t>Do well, and we'll give you more responsibilities and no additional pay!</t>
  </si>
  <si>
    <t>Broken Promises &amp;amp; Favoritism</t>
  </si>
  <si>
    <t>Shallow-minded, rampant favouritism</t>
  </si>
  <si>
    <t>Team work</t>
  </si>
  <si>
    <t>Uncompetitive in Canada</t>
  </si>
  <si>
    <t>none</t>
  </si>
  <si>
    <t>Low Pay, No raises (2% at best), &amp;amp; Archaic, Inflexible, Micromanaging Executive Leadership</t>
  </si>
  <si>
    <t>Senior Consultant</t>
  </si>
  <si>
    <t>Ok</t>
  </si>
  <si>
    <t>Decent place to work until they let you go due to Corporate greed!</t>
  </si>
  <si>
    <t>Senior Advisor</t>
  </si>
  <si>
    <t>No Work-Life Balance, Cold calling three hours a day, and low pay.</t>
  </si>
  <si>
    <t>Great atmosphere</t>
  </si>
  <si>
    <t>Worst job in my life</t>
  </si>
  <si>
    <t>Flexible work</t>
  </si>
  <si>
    <t>There‚Äôs better opportunities out there</t>
  </si>
  <si>
    <t>Positive Review - little bad to say</t>
  </si>
  <si>
    <t>Stay away</t>
  </si>
  <si>
    <t>Good for freshers and not for experienced</t>
  </si>
  <si>
    <t>Will never wish it on anyone</t>
  </si>
  <si>
    <t>I don't recommend it</t>
  </si>
  <si>
    <t>It‚Äôs ok temporarily. It sucked the life out of me.</t>
  </si>
  <si>
    <t>Toxic 'Family' Culture</t>
  </si>
  <si>
    <t>lack of investment into plant and employees</t>
  </si>
  <si>
    <t>Run as fast as you can!</t>
  </si>
  <si>
    <t>Love doing what I do if I could actually do my job</t>
  </si>
  <si>
    <t>No plan, no action</t>
  </si>
  <si>
    <t>I H. A.T.E.D I.T</t>
  </si>
  <si>
    <t>Run in the other direction</t>
  </si>
  <si>
    <t>A good way to get your foot in the door to the IT Field.</t>
  </si>
  <si>
    <t>I am gratrow professionallyeful to have worked for Parexel. A Great place to Learn and g</t>
  </si>
  <si>
    <t>A company for nepotism</t>
  </si>
  <si>
    <t>Outstanding company</t>
  </si>
  <si>
    <t>An ever changing workplace</t>
  </si>
  <si>
    <t>Teamwork is lacking</t>
  </si>
  <si>
    <t>Same as rest of the industry so they prey on industry newbies</t>
  </si>
  <si>
    <t>Not a good work experience - Poorly Managed</t>
  </si>
  <si>
    <t>Good company to start</t>
  </si>
  <si>
    <t>Glorified Slave Labor!!!</t>
  </si>
  <si>
    <t>Previous employee</t>
  </si>
  <si>
    <t>Money Hungry, Not for Education</t>
  </si>
  <si>
    <t>Worst Place to work!</t>
  </si>
  <si>
    <t>Useful for starting in scientific sales</t>
  </si>
  <si>
    <t>Good company in general</t>
  </si>
  <si>
    <t>Good to learn processes and procedures of management consulting</t>
  </si>
  <si>
    <t>Take the job but keep looking</t>
  </si>
  <si>
    <t>Zero Work Life Balance for Production Team</t>
  </si>
  <si>
    <t>Great if you have no previous experience and can take abuse.</t>
  </si>
  <si>
    <t>Mediocrity all round especially in leadership</t>
  </si>
  <si>
    <t>This train has gone off the rails</t>
  </si>
  <si>
    <t>Agree with Management Sentiment</t>
  </si>
  <si>
    <t>Retrospective on WWS</t>
  </si>
  <si>
    <t>management values organization over employees</t>
  </si>
  <si>
    <t>A good place to start but not to stay</t>
  </si>
  <si>
    <t>Good intentions, poor execution</t>
  </si>
  <si>
    <t>It's like one long un-ending episode of The Office.</t>
  </si>
  <si>
    <t>Culture Ruined by New CEO</t>
  </si>
  <si>
    <t>You are not going to be here long</t>
  </si>
  <si>
    <t>Loved my Job and Sad to leave</t>
  </si>
  <si>
    <t>Great place to learn</t>
  </si>
  <si>
    <t>Great Rehab Mgr</t>
  </si>
  <si>
    <t>Not a great one to start your career</t>
  </si>
  <si>
    <t>Solid Company</t>
  </si>
  <si>
    <t>Good reputation, poor management, low pay plan</t>
  </si>
  <si>
    <t>Worst onboarding I've ever had</t>
  </si>
  <si>
    <t>HORRIBLE</t>
  </si>
  <si>
    <t>Ok before covid - much worse after</t>
  </si>
  <si>
    <t>The worst experience</t>
  </si>
  <si>
    <t>a sinking ship</t>
  </si>
  <si>
    <t>Good Starter Job, but Company Growing Pains Present Issues</t>
  </si>
  <si>
    <t>Backward Dinosaur of a company</t>
  </si>
  <si>
    <t>Distribution Manager</t>
  </si>
  <si>
    <t>stay away</t>
  </si>
  <si>
    <t>Money is the main focus</t>
  </si>
  <si>
    <t>Company s profile and ethics</t>
  </si>
  <si>
    <t>Best company to work for!!</t>
  </si>
  <si>
    <t>Strong leadership needed</t>
  </si>
  <si>
    <t>Great Schools</t>
  </si>
  <si>
    <t>Compliance</t>
  </si>
  <si>
    <t>the devil you know is better then the devil you dont know</t>
  </si>
  <si>
    <t>Nice people</t>
  </si>
  <si>
    <t>Only numbers matter</t>
  </si>
  <si>
    <t>Incompetent Management</t>
  </si>
  <si>
    <t>AAA</t>
  </si>
  <si>
    <t>Strong Financially Stable Company - Do Your Research</t>
  </si>
  <si>
    <t>Scam</t>
  </si>
  <si>
    <t>Accenture is big brand where working environment is awesome to work.</t>
  </si>
  <si>
    <t>Down bad</t>
  </si>
  <si>
    <t>Good for students</t>
  </si>
  <si>
    <t>Great place to kick start your career, but leave it before it chews  you up</t>
  </si>
  <si>
    <t>UBS Work</t>
  </si>
  <si>
    <t>Lifetime of joy</t>
  </si>
  <si>
    <t>good for what it is</t>
  </si>
  <si>
    <t>You're expendable</t>
  </si>
  <si>
    <t>Disorganized, no impact,</t>
  </si>
  <si>
    <t>Avoid if possible</t>
  </si>
  <si>
    <t>Workplace drama, management that doesn't care about strategic solutions, hell for junior level employees</t>
  </si>
  <si>
    <t xml:space="preserve">Toxic Environment </t>
  </si>
  <si>
    <t>Great Place to Work</t>
  </si>
  <si>
    <t>Good Training, Poor Leadership, Forced Company Culture</t>
  </si>
  <si>
    <t>Good for Corporate Experience</t>
  </si>
  <si>
    <t>Supply chain co-op</t>
  </si>
  <si>
    <t>Work at HSBC only if you have to</t>
  </si>
  <si>
    <t>Working for ENI</t>
  </si>
  <si>
    <t>Completely horrible</t>
  </si>
  <si>
    <t>less opportunity with old style management</t>
  </si>
  <si>
    <t>Horrible environment- really doesn't care about their employees</t>
  </si>
  <si>
    <t>Former Employee</t>
  </si>
  <si>
    <t>nothing to say here</t>
  </si>
  <si>
    <t>Best option for retail</t>
  </si>
  <si>
    <t>Easy to get hard to do</t>
  </si>
  <si>
    <t>Great place to work, but...</t>
  </si>
  <si>
    <t>Job is not right</t>
  </si>
  <si>
    <t>Good start for an entry level job</t>
  </si>
  <si>
    <t>good pay poor culture</t>
  </si>
  <si>
    <t>Not bad but not a tech company</t>
  </si>
  <si>
    <t>Home Loan Processor</t>
  </si>
  <si>
    <t>Wonderful work life balance!</t>
  </si>
  <si>
    <t>Good place to work</t>
  </si>
  <si>
    <t>Constant Disappointment</t>
  </si>
  <si>
    <t>School undervalues teachers</t>
  </si>
  <si>
    <t>Static Organization with Little Forward Momentum</t>
  </si>
  <si>
    <t>Don't Get Your Hopes Up</t>
  </si>
  <si>
    <t>Run away if you are in marketing</t>
  </si>
  <si>
    <t>Best company to work with</t>
  </si>
  <si>
    <t>Lacking in proper training.</t>
  </si>
  <si>
    <t>Loss</t>
  </si>
  <si>
    <t>Pharmacy Technician</t>
  </si>
  <si>
    <t>You can do better.</t>
  </si>
  <si>
    <t>Salary at Scotiabank</t>
  </si>
  <si>
    <t>Good First Job</t>
  </si>
  <si>
    <t>Work/Life balance</t>
  </si>
  <si>
    <t>Dynamic tech start-up</t>
  </si>
  <si>
    <t>Stay away from the London office</t>
  </si>
  <si>
    <t>The Chevron Way</t>
  </si>
  <si>
    <t>Lost Course</t>
  </si>
  <si>
    <t>they are fake nice</t>
  </si>
  <si>
    <t>Career Path Progression Opportunity</t>
  </si>
  <si>
    <t>Aggressive Workplace</t>
  </si>
  <si>
    <t>Uneducated Management</t>
  </si>
  <si>
    <t>Great now only good</t>
  </si>
  <si>
    <t>If your not a provider, you're not worth anything to them</t>
  </si>
  <si>
    <t>Just looking</t>
  </si>
  <si>
    <t>Sold a Dream, Misleading Company With No Support</t>
  </si>
  <si>
    <t>BEWARE!!!!!!</t>
  </si>
  <si>
    <t>Pros and cons</t>
  </si>
  <si>
    <t>Ilmor Excellence</t>
  </si>
  <si>
    <t>Used to be better</t>
  </si>
  <si>
    <t>Don't work here unless you want to work lots of hours for little pay</t>
  </si>
  <si>
    <t>Processes are more important than employees</t>
  </si>
  <si>
    <t>Good Place to work</t>
  </si>
  <si>
    <t>Director</t>
  </si>
  <si>
    <t>good job</t>
  </si>
  <si>
    <t>Business Analyst</t>
  </si>
  <si>
    <t>Operation Supervisor</t>
  </si>
  <si>
    <t>Worst place to work ever</t>
  </si>
  <si>
    <t>Best place for career progression</t>
  </si>
  <si>
    <t>Loved the job, and some of the people</t>
  </si>
  <si>
    <t>Great job for students</t>
  </si>
  <si>
    <t>ISDE review</t>
  </si>
  <si>
    <t>Boa em alguns pontos</t>
  </si>
  <si>
    <t>Don't believe the hype!</t>
  </si>
  <si>
    <t>Consider joining Geeks very carefully</t>
  </si>
  <si>
    <t>Optanix review</t>
  </si>
  <si>
    <t>Wouldn't recommend it!</t>
  </si>
  <si>
    <t>Pathetic Company  - FRAUD COMPANY</t>
  </si>
  <si>
    <t>Toxic environment</t>
  </si>
  <si>
    <t>Less Pros Than Cons</t>
  </si>
  <si>
    <t>This place sucks.</t>
  </si>
  <si>
    <t>Average company</t>
  </si>
  <si>
    <t>Horrible job. Non stop entitled customers.</t>
  </si>
  <si>
    <t>Broken Healthcare System at it's lowest</t>
  </si>
  <si>
    <t>So much potential - so little realisation for it</t>
  </si>
  <si>
    <t>Upper management doesn‚Äôt hire enough people, leading to unsafe conditions for people and dogs.</t>
  </si>
  <si>
    <t>Employees are Not Valued</t>
  </si>
  <si>
    <t>Swim Teacher</t>
  </si>
  <si>
    <t>Downhill‚Ä¶ Slowly but surely.</t>
  </si>
  <si>
    <t>Toxic Toxic Toxic</t>
  </si>
  <si>
    <t>Overworked &amp;amp; underpaid</t>
  </si>
  <si>
    <t>Political and Fake</t>
  </si>
  <si>
    <t>Awful Work Environment and terrible consideration for employees</t>
  </si>
  <si>
    <t>Bad pay, bad working conditions, and no opportunities</t>
  </si>
  <si>
    <t>Not bad place but very mediocre</t>
  </si>
  <si>
    <t>Wouldn't recommend</t>
  </si>
  <si>
    <t>Discriminatory Performance Evaluation Practice to Foreign Employees</t>
  </si>
  <si>
    <t>Amazing company that I was proud to work for.</t>
  </si>
  <si>
    <t>A Great Experience</t>
  </si>
  <si>
    <t>Don't do it to your career</t>
  </si>
  <si>
    <t>Avoid at all cost</t>
  </si>
  <si>
    <t>Company with the worst employee handling attitude.</t>
  </si>
  <si>
    <t>Can be improved</t>
  </si>
  <si>
    <t>Great people - Horrible managers</t>
  </si>
  <si>
    <t>Great training ground for PMs</t>
  </si>
  <si>
    <t>nice place but needs to be bigger</t>
  </si>
  <si>
    <t>It‚Äôs just like most Corporate America companies</t>
  </si>
  <si>
    <t>Uber Competitive. Consulting Firm Atmosphere.</t>
  </si>
  <si>
    <t>best in coimbatore</t>
  </si>
  <si>
    <t>At least they pay us on time.</t>
  </si>
  <si>
    <t>It's a starter job</t>
  </si>
  <si>
    <t>Training for Management</t>
  </si>
  <si>
    <t>Stay away unless you are desperate</t>
  </si>
  <si>
    <t>It is a lot</t>
  </si>
  <si>
    <t>Terrible</t>
  </si>
  <si>
    <t>Not Great</t>
  </si>
  <si>
    <t>Treatment on the job</t>
  </si>
  <si>
    <t>Good when you are employee, bad when you leave</t>
  </si>
  <si>
    <t>So awful</t>
  </si>
  <si>
    <t>Do not recommend</t>
  </si>
  <si>
    <t>Culture was all they had</t>
  </si>
  <si>
    <t>Beware of Medline</t>
  </si>
  <si>
    <t>No Leadership</t>
  </si>
  <si>
    <t>Great Job, Great Staff, Poor Senior Management Choices</t>
  </si>
  <si>
    <t>Refuses to evolve‚Ä¶.insane expectations</t>
  </si>
  <si>
    <t>Nice  facility</t>
  </si>
  <si>
    <t>Not licenced lab tenicians</t>
  </si>
  <si>
    <t>Company run by underpaid interns</t>
  </si>
  <si>
    <t>Nice place to work with long hours</t>
  </si>
  <si>
    <t>Avoid at all costs</t>
  </si>
  <si>
    <t>A Non-Profit With a Lot of Heart</t>
  </si>
  <si>
    <t>Crazy company</t>
  </si>
  <si>
    <t>Outdated Management and Shady Business Practices</t>
  </si>
  <si>
    <t>Most staff last less than a year.</t>
  </si>
  <si>
    <t>Could use some new management.</t>
  </si>
  <si>
    <t>FSR1</t>
  </si>
  <si>
    <t>Neglected</t>
  </si>
  <si>
    <t>Recruiter</t>
  </si>
  <si>
    <t>Company is great but need some big change!</t>
  </si>
  <si>
    <t>Avoid this company</t>
  </si>
  <si>
    <t>Lives up to its "sweat shop" reputation.</t>
  </si>
  <si>
    <t>Pay is good. Management not so much.</t>
  </si>
  <si>
    <t>Pick wisely</t>
  </si>
  <si>
    <t>Not the Family Atmosphere</t>
  </si>
  <si>
    <t>A Place to Work ONLY if you must have a job, otherwise RUN AWAY!!!</t>
  </si>
  <si>
    <t>Promised opportunity, missed delivery</t>
  </si>
  <si>
    <t>Worst place to work, better work at kfc</t>
  </si>
  <si>
    <t>Horrible place. Hell!</t>
  </si>
  <si>
    <t>No growth opportunities</t>
  </si>
  <si>
    <t>Fantastic Work, Mission Driven Team, Fast Paced Enviornment</t>
  </si>
  <si>
    <t>If I could give 0/5 stars I would</t>
  </si>
  <si>
    <t>Average level</t>
  </si>
  <si>
    <t>True Multinational, in shape and size</t>
  </si>
  <si>
    <t>Most respectful company</t>
  </si>
  <si>
    <t>Unstable work place</t>
  </si>
  <si>
    <t>Nice People, Work Life Balance was negligible</t>
  </si>
  <si>
    <t>Worker</t>
  </si>
  <si>
    <t>Review</t>
  </si>
  <si>
    <t>Overall good employer</t>
  </si>
  <si>
    <t>Looked like a dream company, ended up a nightmare</t>
  </si>
  <si>
    <t>Company trending downwards, in many areas</t>
  </si>
  <si>
    <t>Not a great Sales experience</t>
  </si>
  <si>
    <t>Good team. Great spirit.</t>
  </si>
  <si>
    <t>Encourages creative thinking</t>
  </si>
  <si>
    <t>Great work culture</t>
  </si>
  <si>
    <t>Supervisor</t>
  </si>
  <si>
    <t>Great place to work. Strong ethics. Committed to develop people and lead the future of the payments industry.</t>
  </si>
  <si>
    <t>Literally terrible</t>
  </si>
  <si>
    <t>Managers need to be trained</t>
  </si>
  <si>
    <t>Aa</t>
  </si>
  <si>
    <t>Terrible place to work</t>
  </si>
  <si>
    <t>Not worth it</t>
  </si>
  <si>
    <t>Great team, poor management</t>
  </si>
  <si>
    <t>Good foundation, bad management</t>
  </si>
  <si>
    <t>Senior Analyst</t>
  </si>
  <si>
    <t>Quantity over quality</t>
  </si>
  <si>
    <t>Just don't do it</t>
  </si>
  <si>
    <t>Loved it</t>
  </si>
  <si>
    <t>Bad culture</t>
  </si>
  <si>
    <t>WORST contracting experience...EVER</t>
  </si>
  <si>
    <t>Feedback</t>
  </si>
  <si>
    <t>Not a good a company to work. Fake positive comments exists here cause management ask people to do so.</t>
  </si>
  <si>
    <t>Horrible experience stemming from upper management &amp;amp; owners</t>
  </si>
  <si>
    <t>Handle entire McDelivery Teams of Jeddah, KSA</t>
  </si>
  <si>
    <t>Business Analyst-review</t>
  </si>
  <si>
    <t>ok</t>
  </si>
  <si>
    <t>Great place to work at</t>
  </si>
  <si>
    <t>Bons Benef√≠cios</t>
  </si>
  <si>
    <t>Not all that shines green is pleasant.</t>
  </si>
  <si>
    <t>Bad burnout company culture</t>
  </si>
  <si>
    <t>Partner Manager</t>
  </si>
  <si>
    <t>Ganz okay</t>
  </si>
  <si>
    <t>there is a great team managemen. will push you to wor harder</t>
  </si>
  <si>
    <t>Lead Teller</t>
  </si>
  <si>
    <t>WN bnp</t>
  </si>
  <si>
    <t>Miniscual Raises</t>
  </si>
  <si>
    <t>Buona azienda, ritmi sostenuti</t>
  </si>
  <si>
    <t>Tr√®s bien</t>
  </si>
  <si>
    <t>Smart People, Interesting Industry</t>
  </si>
  <si>
    <t>Low pay but not work overload</t>
  </si>
  <si>
    <t>Not worth your time</t>
  </si>
  <si>
    <t>You are expected in the office every day</t>
  </si>
  <si>
    <t>Company Rating</t>
  </si>
  <si>
    <t>This Job Gave Me PTSD</t>
  </si>
  <si>
    <t>Do not work here!</t>
  </si>
  <si>
    <t>Int√©ressant mais management √† revoir</t>
  </si>
  <si>
    <t>Be aware of internal politics</t>
  </si>
  <si>
    <t>Positiva</t>
  </si>
  <si>
    <t>Terrible culture at UK Asset Management</t>
  </si>
  <si>
    <t>Indian offices - highly non professional</t>
  </si>
  <si>
    <t>Great start, overall toxic</t>
  </si>
  <si>
    <t>New hires be wary</t>
  </si>
  <si>
    <t>hi had a fantastic 2 years working at HCL feels like a big family</t>
  </si>
  <si>
    <t>Nice building not so nice employees</t>
  </si>
  <si>
    <t>Fundamentally broken due to poor management</t>
  </si>
  <si>
    <t>Great mission, terrible leadership.</t>
  </si>
  <si>
    <t>Stellar engineering culture</t>
  </si>
  <si>
    <t>Very good, very lean</t>
  </si>
  <si>
    <t>Meh...</t>
  </si>
  <si>
    <t>underpaid overworked with no route for progression</t>
  </si>
  <si>
    <t>zero stars really should be an option for this place‚Ä¶</t>
  </si>
  <si>
    <t>Great place to work overall</t>
  </si>
  <si>
    <t>Wonderful People, Management Is Amazing</t>
  </si>
  <si>
    <t>Competitive environment but not much growth</t>
  </si>
  <si>
    <t>Do not join unless you are very desperate and really don't have any other option except to die</t>
  </si>
  <si>
    <t>Picture maker</t>
  </si>
  <si>
    <t>Slow old school pharma</t>
  </si>
  <si>
    <t>Great environment, lots of paid breaks</t>
  </si>
  <si>
    <t>Pathetic,poor pay for IIT NITians</t>
  </si>
  <si>
    <t>Unorganized</t>
  </si>
  <si>
    <t>Good place to work but serious bureaucracy</t>
  </si>
  <si>
    <t>A Real look at IMTOB</t>
  </si>
  <si>
    <t>Cool Place - Cool people - Growing Fast - Lots You Can Learn</t>
  </si>
  <si>
    <t>Fast Pace and Alot of Work for Min Pay</t>
  </si>
  <si>
    <t>Fast Pace</t>
  </si>
  <si>
    <t>Nice company</t>
  </si>
  <si>
    <t>Wow</t>
  </si>
  <si>
    <t>Treasury trader at Macau Chinese SOE bank</t>
  </si>
  <si>
    <t>Simply Amazing</t>
  </si>
  <si>
    <t>Citi ?</t>
  </si>
  <si>
    <t>bien</t>
  </si>
  <si>
    <t>Call centre</t>
  </si>
  <si>
    <t>Terrible Union backing you up here!!!!</t>
  </si>
  <si>
    <t>Absolutely No Work/Life Balance</t>
  </si>
  <si>
    <t>Sales executive</t>
  </si>
  <si>
    <t>Not for the weak</t>
  </si>
  <si>
    <t>Great Experience at ACN</t>
  </si>
  <si>
    <t>Good for fresher in terms of work, but not growth</t>
  </si>
  <si>
    <t>Culture (Leadership) Needs to Change</t>
  </si>
  <si>
    <t>Good if you drink the cool aid.</t>
  </si>
  <si>
    <t>Industrial Placement Student</t>
  </si>
  <si>
    <t>Complete and utter frenzy of ineptitude</t>
  </si>
  <si>
    <t>Senior software engineer</t>
  </si>
  <si>
    <t>Not the best place to work</t>
  </si>
  <si>
    <t>It is ok</t>
  </si>
  <si>
    <t>Not as advertised</t>
  </si>
  <si>
    <t>Excellente entreprise</t>
  </si>
  <si>
    <t>Not good personal</t>
  </si>
  <si>
    <t>Great place</t>
  </si>
  <si>
    <t>Ok place to work</t>
  </si>
  <si>
    <t>Average Employer</t>
  </si>
  <si>
    <t>Good pay but long hours and no work/life balance is the trade-off...</t>
  </si>
  <si>
    <t>Great company to work for</t>
  </si>
  <si>
    <t>A lot goes a little way</t>
  </si>
  <si>
    <t>-</t>
  </si>
  <si>
    <t>Pathetic Work Culture in India</t>
  </si>
  <si>
    <t>Worst organization in which I worked, just like local lala company</t>
  </si>
  <si>
    <t>great place to work at</t>
  </si>
  <si>
    <t>Verzeo as a company</t>
  </si>
  <si>
    <t>Warehouse</t>
  </si>
  <si>
    <t>Game of thrones politics, baby culture catching up fast</t>
  </si>
  <si>
    <t>SAP Change Manager</t>
  </si>
  <si>
    <t>Avoid like the plague</t>
  </si>
  <si>
    <t>Was fun while it lasted.</t>
  </si>
  <si>
    <t>Very Good pay and benefits</t>
  </si>
  <si>
    <t>awesome</t>
  </si>
  <si>
    <t>Work life balance and job security is very poor</t>
  </si>
  <si>
    <t>Exp√©rience m√©diocre</t>
  </si>
  <si>
    <t>Singled out in Bakersfield</t>
  </si>
  <si>
    <t>Aucun</t>
  </si>
  <si>
    <t>Amazon</t>
  </si>
  <si>
    <t>Pretty good job</t>
  </si>
  <si>
    <t>Warning:  The next round of layoffs are coming!!</t>
  </si>
  <si>
    <t>Great Culture</t>
  </si>
  <si>
    <t>Garbage place, CEO is absolutely nuts</t>
  </si>
  <si>
    <t>BEWARE OF FAKE REVIEWS</t>
  </si>
  <si>
    <t>Dropped staff with no warning when covid hit</t>
  </si>
  <si>
    <t>Manufacturing Associate II</t>
  </si>
  <si>
    <t>Ability to advance to a degree and learn new skills. It was fun up to a point. Leadership was lacking at the time.</t>
  </si>
  <si>
    <t>Guaranteed Rate Affinity</t>
  </si>
  <si>
    <t>housekeeping</t>
  </si>
  <si>
    <t>Small fish big pond</t>
  </si>
  <si>
    <t>Underpaid</t>
  </si>
  <si>
    <t>Rollercoaster Org</t>
  </si>
  <si>
    <t>If you like being told how horrible you are at what you do - this is the place for you</t>
  </si>
  <si>
    <t>Has its good and its bad</t>
  </si>
  <si>
    <t>Unethical, impractical and hypocritical!</t>
  </si>
  <si>
    <t>Fintech Company</t>
  </si>
  <si>
    <t>Good company overall, disappointing tech team</t>
  </si>
  <si>
    <t>Terrible - Please never work at this company</t>
  </si>
  <si>
    <t>Seems like a dream job... then you start working there.</t>
  </si>
  <si>
    <t>avoid this place</t>
  </si>
  <si>
    <t>Management</t>
  </si>
  <si>
    <t>A stimulating, technically challenging and passion driven community</t>
  </si>
  <si>
    <t>no longer safe</t>
  </si>
  <si>
    <t>Don‚Äôt plan on making this a long term thing</t>
  </si>
  <si>
    <t>Great potential.  Awful management.  Average Benefits.</t>
  </si>
  <si>
    <t>Good environment to start auditing career</t>
  </si>
  <si>
    <t>Wanted it to work out, but it wasn't possible (Experience of a TAMG employee)</t>
  </si>
  <si>
    <t>Don't Work Here</t>
  </si>
  <si>
    <t>It‚Äôs a job</t>
  </si>
  <si>
    <t>Great place to start out of college but that's about it. It seems like the company does little to keep good employees</t>
  </si>
  <si>
    <t>Amazing small company filled with great people</t>
  </si>
  <si>
    <t>It's not for everyone</t>
  </si>
  <si>
    <t>Flexible but they are hypocritical politicians</t>
  </si>
  <si>
    <t>Great school to learn how to deal with work enviroment toxicity</t>
  </si>
  <si>
    <t>great culture, great colleagues, great product</t>
  </si>
  <si>
    <t>Clueless upper management</t>
  </si>
  <si>
    <t>Disfunctional family, lack of direction, high churn</t>
  </si>
  <si>
    <t>BURN YOUR RESUME BEFORE APPLYING HERE</t>
  </si>
  <si>
    <t>Public Institution...</t>
  </si>
  <si>
    <t>STAY AWAY!  The worst marketing agency to work for</t>
  </si>
  <si>
    <t>360i was great, DAN not so much</t>
  </si>
  <si>
    <t>Good place to lose your qualification and get fat</t>
  </si>
  <si>
    <t>Fun for a while</t>
  </si>
  <si>
    <t>Good for learning if they like you, terrible for being happy and for expecting some balance</t>
  </si>
  <si>
    <t>Great place to work. Just not in Texas!</t>
  </si>
  <si>
    <t>Ever-changing kpi system</t>
  </si>
  <si>
    <t>Good for young People</t>
  </si>
  <si>
    <t>Do Your Research!</t>
  </si>
  <si>
    <t>Use it as an entrance into tech industry...</t>
  </si>
  <si>
    <t>Low pay, no perks like other call centers, hard to get terminated</t>
  </si>
  <si>
    <t>A lot of work for little pay</t>
  </si>
  <si>
    <t>Some managers don‚Äôt think they should wear PPE on site</t>
  </si>
  <si>
    <t>Overworked employees, bad attitudes, lacking forward thinking and outdated technology</t>
  </si>
  <si>
    <t>Heavy Machine operator</t>
  </si>
  <si>
    <t>Great company to work</t>
  </si>
  <si>
    <t>Great experience if you're willing to work hard</t>
  </si>
  <si>
    <t>Executive Management Doesn't know the Business</t>
  </si>
  <si>
    <t>Good Pay but No Support</t>
  </si>
  <si>
    <t>Good Opportunity - Solid Employer</t>
  </si>
  <si>
    <t>A smoke and mirrors con-show</t>
  </si>
  <si>
    <t>Great company in public accounting industry</t>
  </si>
  <si>
    <t>Awful Management</t>
  </si>
  <si>
    <t>diverse</t>
  </si>
  <si>
    <t>Unorganized and Poor Management</t>
  </si>
  <si>
    <t>DON‚ÄôT WORK HERE</t>
  </si>
  <si>
    <t>Absolutely 100% avoid Remington College</t>
  </si>
  <si>
    <t>Poor management (Chennai)</t>
  </si>
  <si>
    <t>Abandon hope, ye who enter here ...</t>
  </si>
  <si>
    <t>A shambles</t>
  </si>
  <si>
    <t>A good company to grow and learn</t>
  </si>
  <si>
    <t>Excellent work environment and wonderful management personnel.</t>
  </si>
  <si>
    <t>Zennkai / Eccotique</t>
  </si>
  <si>
    <t>Great group of people to work with</t>
  </si>
  <si>
    <t>The absolute most toxic work environment I‚Äôve ever experienced.</t>
  </si>
  <si>
    <t>Not good</t>
  </si>
  <si>
    <t>Worst Career Advancement Ever</t>
  </si>
  <si>
    <t>Would absolutely come back</t>
  </si>
  <si>
    <t>This company will ruin your life, health and peace, not just your career.</t>
  </si>
  <si>
    <t>Terrible Organization with Weak Leadership</t>
  </si>
  <si>
    <t>Laid off in 30 days</t>
  </si>
  <si>
    <t>Think Twice</t>
  </si>
  <si>
    <t>Supplemental Insurance representative</t>
  </si>
  <si>
    <t>cool</t>
  </si>
  <si>
    <t>Awful awful awful</t>
  </si>
  <si>
    <t>Useless CEO firing people in few months after joining</t>
  </si>
  <si>
    <t>Never give salary on time</t>
  </si>
  <si>
    <t>Culture is not nice</t>
  </si>
  <si>
    <t>Management Dinosaurs</t>
  </si>
  <si>
    <t>Good employer</t>
  </si>
  <si>
    <t>Steer clear</t>
  </si>
  <si>
    <t>Absolute Chaos</t>
  </si>
  <si>
    <t>Toxic and  Dysfunctional Administration Destroying School with Great Potential</t>
  </si>
  <si>
    <t>Horrible 1 year experience. Toxic work environment which allowed work place harassment from team members.</t>
  </si>
  <si>
    <t>it's a no from me</t>
  </si>
  <si>
    <t>good starting point, but look for something better after.</t>
  </si>
  <si>
    <t>Horrible senior management- No vision</t>
  </si>
  <si>
    <t>Good benefits but thats about it</t>
  </si>
  <si>
    <t>Worst Company Ever Joined</t>
  </si>
  <si>
    <t>Considerable improvement required</t>
  </si>
  <si>
    <t>Best Staffing Firm Experience</t>
  </si>
  <si>
    <t>Best Place to Get Depressed</t>
  </si>
  <si>
    <t>In transition</t>
  </si>
  <si>
    <t>Good team</t>
  </si>
  <si>
    <t>Disrespectful</t>
  </si>
  <si>
    <t>Accounting Department</t>
  </si>
  <si>
    <t>savers review</t>
  </si>
  <si>
    <t>A nascent service with potential, and solid foundations for continued success</t>
  </si>
  <si>
    <t>Worst company to work</t>
  </si>
  <si>
    <t>Not the same</t>
  </si>
  <si>
    <t>Know your direct team (school) you work with before deciding to work here.</t>
  </si>
  <si>
    <t>Complete disaster of a company</t>
  </si>
  <si>
    <t>My exeperince in Alliance International</t>
  </si>
  <si>
    <t>New direction needed</t>
  </si>
  <si>
    <t>It was a awesome experience</t>
  </si>
  <si>
    <t>Staff are treated like hey are disposable</t>
  </si>
  <si>
    <t>Not a Good MNC by the End of 2022</t>
  </si>
  <si>
    <t>Most Toxic Culture Ever</t>
  </si>
  <si>
    <t>Okay !</t>
  </si>
  <si>
    <t>Once We Were Bought Out,  A Lot  Were Slowly Weeded Out</t>
  </si>
  <si>
    <t>Great people to work with but horrible management</t>
  </si>
  <si>
    <t>Think twice about working here</t>
  </si>
  <si>
    <t>Toxic management and unsupportive</t>
  </si>
  <si>
    <t>okay generous</t>
  </si>
  <si>
    <t>Humble yourselves.  Remember when you were coming up in your career.  Respect your associates and appreciate all that they do to try and keep up with your ever changing orders.  Stop treating people like numbers.</t>
  </si>
  <si>
    <t>Bring this great Company at par with similar great companies in India, eg, Infosys, TATA, etc, in terms of work culture and environment.</t>
  </si>
  <si>
    <t>You have some amazing staff members who are totally disengaged. Your TNPS system is floored. Your computer system seibel regardless what you say is not fit for purpose. People's jobs should not be on the line based on a survey score.</t>
  </si>
  <si>
    <t>Handle customer escalations so BAMs can focus on sales. Be realistic about sales goals, especially given the recent environment. Fix broken processes, or figure out the chain of command so someone is accountable to get the problems fixed.</t>
  </si>
  <si>
    <t>GET IT TOGETHER!!</t>
  </si>
  <si>
    <t>- provide better new hire training - just because you hire professionals doesn‚Äôt automatically mean they know Microsoft. Train them on the tools to do the day-to-day job and how to get things done internally at Microsoft as part of being a new hire. 
- enforce more consistent expectations across all first line managers and teams on the sales floor, as it currently seems like some teams and individuals are great and others aren‚Äôt 
- improve and streamline tools internally that are rolled out and needed to do your job - centralize tooling as much as possible 
- provide avenues for AEs to have better access to support for concerns about their job and getting things done 
- prevent first line managers from hiring a team of people composed exclusively of reps from a single company - ensure managers have diversity in backgrounds across their teams versus just hiring their former coworkers or friends 
- try to maintain a little more continuity in business policies and expectations and insulate reps more from the noise that can come from misinformation and constantly shifting business priorities</t>
  </si>
  <si>
    <t>If you want Millennials to give you a second look it is time to overhaul the dinosaur HR tactics that are prevalent. Millennials want bold, fresh approaches for their career growth. In addition, there is a seeming intolerance for the 40 and 50+ age crowd - the very folk that want to work very hard and bring great balance and experience to a team.
Satya - you came on board with much expected of you. Seems like the old processes and mindset is still in place. Solution: enable diverse teams that are truly diverse: by age, gender, race. Get HR processes off the backs of employees that want to try new growth areas. If you need to reduce headcount do it the ethical way with formal RIFs and not play games with individuals.</t>
  </si>
  <si>
    <t>Communicate with your contractors.  I saw my manager 10 times total before my contract was terminated, and none of them were formal meetings between he and I and I wish that had played out differently.</t>
  </si>
  <si>
    <t>Simply the admin system</t>
  </si>
  <si>
    <t>Hear your employees opinion. Work on proper communication structure. Identify who's working hard and who's stealing credit.</t>
  </si>
  <si>
    <t>There should be a service for support/advice direct to HR as the C-Suite leaders have no idea how bad the culture is because the SLT fudge alot of the feedback.
Take escalations of professional misconduct seriously and do fair investigations. 
Genuinely consider people/leadership training for some managers...</t>
  </si>
  <si>
    <t>Nothing</t>
  </si>
  <si>
    <t>Scrap your rating system; make support a live system rather than responding to email 3 or 4 days later.</t>
  </si>
  <si>
    <t>Invest into New Systems and stop thinking that ‚Äúhard working people‚Äù are the ones that work 24/7.  You are losing so many employees by the day. And you are shocked and questioning why people are leaving? If you think it‚Äôs ok to overwork people and not even pay them for their overtime there is something really wrong with you mentally....</t>
  </si>
  <si>
    <t>More downtime between calls would help moral.</t>
  </si>
  <si>
    <t>Trust Your People</t>
  </si>
  <si>
    <t>Parse evaluations for managers that report to a larger group in the Vital Signs. When your management's evaluations are cumulative for a group the invalids can thrive and mismanage employees without being held accountable.</t>
  </si>
  <si>
    <t>Get off your high horse.  You were all sales reps once.</t>
  </si>
  <si>
    <t>Perhaps too many 
Few out of touch 
Perhaps one or two big headed maybe 
But ok overall do your work most of the time left alone</t>
  </si>
  <si>
    <t>No</t>
  </si>
  <si>
    <t>Fire people who sexually harass employees</t>
  </si>
  <si>
    <t>Good luck and get rid of a lot of ur mid tier managers e &amp; f grades too many living in past. Address the culture gap between ex c&amp;w teams and mobile ur are 1 company act like it
Review your reward package if u truly want talent that can truly make a difference</t>
  </si>
  <si>
    <t>.non stop harassment by the manager...even after complaining about the harassment with proof - there was no action taken by the Upper management nor by the investigating officer . Many of the team members left only because of this one manager.</t>
  </si>
  <si>
    <t>Service leadership is a highly successful approach.</t>
  </si>
  <si>
    <t>Higher compensation for people actually doing work.
Make transitioning to different roles easier.</t>
  </si>
  <si>
    <t>Pas note</t>
  </si>
  <si>
    <t>DO. BETTER.</t>
  </si>
  <si>
    <t>Erm.  Completely revamp the entire way you manage your business?</t>
  </si>
  <si>
    <t>empower</t>
  </si>
  <si>
    <t>Change uniforms
Change back commission</t>
  </si>
  <si>
    <t>Help local managers more, with training</t>
  </si>
  <si>
    <t>Changing policies and rules every other month is really confusing, not allowing branch managers to hire new staff is very inconvenient to both employees and customers, most of the training is irrelevant to the job position, too many responsibilities for the amount of pay that is offered. Other banks seem to be much more organized in this aspect.</t>
  </si>
  <si>
    <t>Hire better managers</t>
  </si>
  <si>
    <t>Aucuns</t>
  </si>
  <si>
    <t>Could you even?</t>
  </si>
  <si>
    <t>Increase compensation</t>
  </si>
  <si>
    <t>Control on senior level employees</t>
  </si>
  <si>
    <t>Local managers stand up for your employees.</t>
  </si>
  <si>
    <t>Stop being so greedy and pass some of that profit down to the hard workers on your front line.  
Do what you say. Stop lying</t>
  </si>
  <si>
    <t>Eat healthy food</t>
  </si>
  <si>
    <t>I had the absolute best branch manager ever. If they are all like him, I would say keep doing what you're doing.  A great manager can dramatically impact an employees career and makes the biggest difference in the workplace.</t>
  </si>
  <si>
    <t>Needs improvement</t>
  </si>
  <si>
    <t>Beef up on your communication or you will continue to be a revolving door. Be more aware of employee burnout and let employees have some time off of work and stop caring only for yourselves.</t>
  </si>
  <si>
    <t>HR needs progressive leadership</t>
  </si>
  <si>
    <t>HR is a puppet of Management, think for employees too</t>
  </si>
  <si>
    <t>give better pay</t>
  </si>
  <si>
    <t>This company has more VP‚Äôs and CEO‚Äôs than necessary. All the money they are paying their higher ups to sit around making videos to send to staff that nobody has time to watch since we are monitored every single second on our PC‚Äôs. There is no recognition given out, only criticism and I‚Äôve been here for years. I do love my teammates though and the lower level Supervisors.</t>
  </si>
  <si>
    <t>no point - if mgmt can approve  of such leadership</t>
  </si>
  <si>
    <t>When you outsource your employees, guess what? You get cut too!</t>
  </si>
  <si>
    <t>Better  Management</t>
  </si>
  <si>
    <t>Trabajar con m√°s empat√≠a consu personal para potenciarlo.</t>
  </si>
  <si>
    <t>Change the culture. Lot more can be achieved with right mindset and values.</t>
  </si>
  <si>
    <t>Stop communicating via third parties (it is not effective), if you need to talk to someone, talk to them.
Treat your people like people. You don't own people it is illegal. People have choices.
Stop expecting part time retail employees to care so much. 
Sort your attitude out, if you have a rubbish attitude so will your staff. 
Respect is a luxury not a right.
The time for managers sitting in their offices and barking orders is over, people need and want good leaders. 
Advice to regional management and up - If your stores have high turnover, its because of the manager. People leave when they don't feel respected and appreciated.</t>
  </si>
  <si>
    <t>Need to do something to get sense of ownership community for employee</t>
  </si>
  <si>
    <t>Estudar sobre lideran√ßa, o Ita√∫ promove muitos bons analistas a gestores sem prepar√°-los para serem gestores. Eles est√£o mais preocupados com a carreira individual deles do que em desenvolver pessoas.</t>
  </si>
  <si>
    <t>Tomar mais cuidado na avalia√ß√£o de promo√ß√µes e oportunidades para os funcion√°rios que se dedicam.</t>
  </si>
  <si>
    <t>Treat your CSRs better almost more than half my training class quit.</t>
  </si>
  <si>
    <t>Salary correction</t>
  </si>
  <si>
    <t>Grow up.</t>
  </si>
  <si>
    <t>Make sure your workers have enough time off</t>
  </si>
  <si>
    <t>Keep up the great work!</t>
  </si>
  <si>
    <t>Try changing the culture</t>
  </si>
  <si>
    <t>None. People who would listen aren't there anymore.
Recently, many good people in upper management have left.
Good ones are not looking to stay.</t>
  </si>
  <si>
    <t>Recruter plus de jeunes dipl√¥m√©s et accorder plus d'importance aux alternants/stagiaires/doctorants car repr√©sentent l'avenir de l'engineering et de la production dans l'industrie de demain.</t>
  </si>
  <si>
    <t>Treat people like people not like machines</t>
  </si>
  <si>
    <t>CEO suck, pay base is very low and annual incentive pay is very low.</t>
  </si>
  <si>
    <t>Make sure your people leaders really have a vested interest in seeing their people grow professionally. Tie their goals to it!</t>
  </si>
  <si>
    <t>Implement more clearly defined lines of communication between businesses and departments to reduce redundancies. Also, teams should work together and encourage growth in each other, as competition often stunts progress at Citi</t>
  </si>
  <si>
    <t>They need to pay more</t>
  </si>
  <si>
    <t>Invest in marketing and let your sales people do their jobs.  Understand this is the U.S and regulations and way different here than in Canada so the operations will never ever run like they do in Canada.  Let your Managers do their jobs and stop trying to run every department from your ivory towers and stop bringing in consultants to change things every year.  You had a capable team as the numbers should have clearly shown you.  Also, it is expected that you work 50 plus hours per week.</t>
  </si>
  <si>
    <t>Pay more money</t>
  </si>
  <si>
    <t>Management is professional working</t>
  </si>
  <si>
    <t>Try provide lunch for the night batch.</t>
  </si>
  <si>
    <t>Very nice staff</t>
  </si>
  <si>
    <t>More meetings/actually take suggestions</t>
  </si>
  <si>
    <t>Leave</t>
  </si>
  <si>
    <t>Understand the aspirations of your consultants and let them decide the path they want to carve for themselves.</t>
  </si>
  <si>
    <t>If you are Product base company, behave like one..</t>
  </si>
  <si>
    <t>Put in place better structures on Reward and Recognition in place and talent development to avoid the effect of favoritism or unfair compensation schemes based only n HRs input. Yuo are losing a lot of good talent.</t>
  </si>
  <si>
    <t>I would imagine management is as frustrated as anyone about losing good people to external opportunities, but recognizing that paying people to match the competition, even if it means an out of step pay increase that has to get approval from a higher up, is worth it when you consider the cost of bringing in someone new. In addition, more external learning opportunities (conferences, etc) for even mid-level operations people would improve performance and help them feel less isolated inside, 'the machine'</t>
  </si>
  <si>
    <t>The management should definitely try to improve the work culture of the company. Else the problem of high attrition rate cant be solved.</t>
  </si>
  <si>
    <t>Ninguna, todo es muy bueno</t>
  </si>
  <si>
    <t>Use consultants and temp work forces instead of h1 visas fr Asia.</t>
  </si>
  <si>
    <t>treat employees better</t>
  </si>
  <si>
    <t>Scrap ‚ÄúLEI‚Äù. LEI should be used for FAs FPs PBAs, LCEA/CEA roles are not long enough experiences to wow a client, sometimes it is and sometimes a customer who has had a bad experience somewhere else, comes to my branch days later to do transactions then gets a survey for me but decides to give all reds (Yes this actually happened 3 times)</t>
  </si>
  <si>
    <t>Call centers, by their very nature, are absurd and unfortunately a necessary evil for a successful corporation. With that in mind, please be more cognizant of your employees' mental health and daily responsibilities. The pay is so egregiously low that it seems borderline criminal if not evil to deny a monthly bonus based on failing an insignificant metric like returning late to your desk after using the restroom. No one, and I cannot emphasize this enough, NO ONE enjoys your hokey incentives to increase efficiency and business profitability. Recording your employees on the phone dealing with upset customers while dancing around and blasting Pharell's song "Happy" is about as close as I can imagine the 7th circle of hell resembles. Coupons for a cup of soup for bringing in a million dollars in 30 days is bombastically insulting. Pay your employees better, allow them to share in appreciation days without giving them the uneaten portion of cold hamburgers and hotdogs, be more flexible with PTO, and admit that there are serious flaws with the coverage you provide in your policies to external customers.</t>
  </si>
  <si>
    <t>Review the Evaluation system 
Start asset teams
rotate the conference attendance employees</t>
  </si>
  <si>
    <t>The promotion has to be done as per the qualifications not any other factors</t>
  </si>
  <si>
    <t>Nothing they are perfect</t>
  </si>
  <si>
    <t>Hire trained professionals instead of promoting agents</t>
  </si>
  <si>
    <t>Improve payroll</t>
  </si>
  <si>
    <t>They should have to work on salary part.</t>
  </si>
  <si>
    <t>not only professionalism but also humanity and empathy, not narcissists and psychopaths.</t>
  </si>
  <si>
    <t>Quit, tank the company. The leadership does not care, and if the ELT doesn't know what's going on, it's just very clear how disconnected they are with the core valuable asset they have.</t>
  </si>
  <si>
    <t>Treat employees irrespective of their grades and level with respect. not just when Global leaders are on site. Stop micro managing employees and give them the respect and space to learn and grow. Lead the team rather than dictating.</t>
  </si>
  <si>
    <t>look after the workload</t>
  </si>
  <si>
    <t>Always ways to improve</t>
  </si>
  <si>
    <t>Please provide complete KT to the new joiner in proper scheduled way and give time to have hands-on.Appreciate for the work done. Make a positive happy work environment and culture. Respect the employee as a human.</t>
  </si>
  <si>
    <t>Keep an eye on growth path for all updated and clearly carved out</t>
  </si>
  <si>
    <t>nothing</t>
  </si>
  <si>
    <t>Try to minimize the office politics caused by employees of South Asian origin and allow employee to grow based on merit</t>
  </si>
  <si>
    <t>Should focus on replacing mannerless people with polite one's</t>
  </si>
  <si>
    <t>Be more flexible would be better.</t>
  </si>
  <si>
    <t>Be more proactive and least reactivate</t>
  </si>
  <si>
    <t>Go back to business basics and get out of politics. Pay more of a salary and less in commission to reduce stress and reduce sales manipulation practices.</t>
  </si>
  <si>
    <t>Keep at it Dimon</t>
  </si>
  <si>
    <t>My suggestion would be for management to genuinely care about each other and their employees because it is a tough job to do and it is only made harder by managers who don't empathize with their employees.</t>
  </si>
  <si>
    <t>need to reward innovation and candor - especially when not inline with desired outcome</t>
  </si>
  <si>
    <t>Give more to your employees</t>
  </si>
  <si>
    <t>Get organized!!! Stop reorganizations of upper management and start getting rid of some middle managers instead. Beef up your IT department. Stop hiring remote employees if you can't handle it.</t>
  </si>
  <si>
    <t>When you decide to bring in new blood, please give them guidance not just dump them on the job and wish it works out. Honda basically exist because of a group on die had Honda fans.</t>
  </si>
  <si>
    <t>Allow employees to do their work minus the constant micromanagement with unrealistic expectations that cause salary workers to work without pay. Horrible company.</t>
  </si>
  <si>
    <t>I do not have any advice for management.  They are going to manage the business as they see fit.</t>
  </si>
  <si>
    <t>Needs a more efficient way of implementing change for the better.</t>
  </si>
  <si>
    <t>None that I can think of.</t>
  </si>
  <si>
    <t>engage more with foot men</t>
  </si>
  <si>
    <t>get rid</t>
  </si>
  <si>
    <t>Parfait</t>
  </si>
  <si>
    <t>Wish it didn‚Äôt closed down</t>
  </si>
  <si>
    <t>more contact between internal people</t>
  </si>
  <si>
    <t>Make sure that jobs are differentiated by actual responsibilities, not just generic job titles. If it is necessary to use job titles in establishing pay band, differentiate job titles, rather than assuming all employees with the same title (specialist, analyst, team leader) is doing roughly the same job.</t>
  </si>
  <si>
    <t>Reinforce your policies and start over in enterprise compliance hiring teams. Horrible management</t>
  </si>
  <si>
    <t>Whistle Blower policy is for name only, HR shd intervene and decide the course in place of following the decision took by the managers, specially in Exception cases, no one cares about your growth, no exposure, only upper management is gaining and getting promoted since last 3 years.</t>
  </si>
  <si>
    <t>Aguas con la agencia</t>
  </si>
  <si>
    <t>Dont allow people to stay in same roles for over 20yrs, prohibits change.</t>
  </si>
  <si>
    <t>Listen to advisors and remove the 100 small daily tasks and allow the seniors to focus on high level. I saw countless good people leave the company for this reason.</t>
  </si>
  <si>
    <t>A great company is made by its people and not by just undertaking new technologies.</t>
  </si>
  <si>
    <t>Be respectful and have patience</t>
  </si>
  <si>
    <t>See the cons.</t>
  </si>
  <si>
    <t>Recruit more local candidates..for local location</t>
  </si>
  <si>
    <t>Elon worked 80+ hours a week, why can't I work for myself in my spare time and thrive off the work I want to do??? Be Knowledgable about someone's position at the company and understand their life time achievements and what employees do for you!!! Be in our shoes!!!!!</t>
  </si>
  <si>
    <t>Stay current and stay in touch with what makes employees happy. Happy employees are effective employees.</t>
  </si>
  <si>
    <t>Upper level managers are very intelligent and have well defined goals. Unfortunately, the lower level managers have no idea how to implement these goals within their fiefdoms. They continue to rule with their heads in the sand until someone comes along and kicks them in their butt or they are forced to leave.</t>
  </si>
  <si>
    <t>Be the culture change that you promote.</t>
  </si>
  <si>
    <t>No advice to give</t>
  </si>
  <si>
    <t>STAY THE HELL OUT OF PEOPLES PERSONAL AND POLITICAL LIVES</t>
  </si>
  <si>
    <t>When you're there if you're good at your job you are overworked under appreciated underpaid some stores are different but at the store I worked at it was horrible</t>
  </si>
  <si>
    <t>The definition of customer service to me is when an agent as well as the supervisor and manager work together to resolve the customer's issues with our service and leaving the decision up to them to keep our service. Atleast acting like you care enough about your employee to help them assist the customer(s), who you also claim you care so much about. I have NEVER witnessed such unprofessionalism, utter lack of management and a sorry example of what customer service meant until I worked as a customer service representative at this company. NEVER have I ever heard of a supervisor being too busy to assist a customer and their issues when the customer does not want to talk to an employee and wants to talk to someone ober them. There are currently between 80,000 and 100,000 people in an employee chatroom and somehow not a single supervisor is available to help their employee help a customer????? Something does not add up. Never in the 23 going on 24 years of living have I ever heard of a customer wanting to speak to a supervisor or manager but neither are available. 
I wouldn't even recommend this job to a teenager just finishing highschool and wanting to join the workforce. If you are a highschool student about to graduate and join the workforce, you are better off working at McDonald's or some other fast food joint/retail area where a supervisor and/or manager IS available to assist a customer that wants to speak to one. This company is a disgrace to customer service. Such a stressful job when dealing with understandably angry customers, and barely anyone is around to help you when a customer wants to speak to someone higher than you. And this company has the AUDACITY to pay $14.50/hr to their employees for this??? When you can apply for another CSR position at a different company and get paid more than that and less stress than this place. I'm so glad I left this place.</t>
  </si>
  <si>
    <t>no advice needed to managemnet</t>
  </si>
  <si>
    <t>Improve ur allowances</t>
  </si>
  <si>
    <t>What advise should i give to the management</t>
  </si>
  <si>
    <t>to be more tolerant</t>
  </si>
  <si>
    <t>Set up independent structure for managing conflicts and/or ethical concerns</t>
  </si>
  <si>
    <t>The tail is wagging the dog and WDI should be driving new direction, not responding to Resort requests.  Motivating factors need to be innovative experience not merchandising tie ins.</t>
  </si>
  <si>
    <t>Actually employ people who know how to run a business</t>
  </si>
  <si>
    <t>Believe in your people</t>
  </si>
  <si>
    <t>Do better with improving their management skill, workers are humans not robots.</t>
  </si>
  <si>
    <t>Fix your problems with the work life balance for your sales people this is the smallest tweak and care more about your your sales people, at the end of the day they are the heart of the company.  Work on fixing the pay structure for smaller less high end locations.</t>
  </si>
  <si>
    <t>Be consistent in your instructions. Don't let go those who built you up!</t>
  </si>
  <si>
    <t>Plus de bienveillance et d'empathie dans la mani√®re de traiter vos collaborateurs vous permettrait de les garder plus longtemps et ne pas avoir un turnover aussi √©lev√©. De plus, ce serait bien que ce ne soit pas toujours la m√™me "typologie de personne" qui se voit confier les postes les plus bas de la hi√©rarchie.</t>
  </si>
  <si>
    <t>Keep the money coming</t>
  </si>
  <si>
    <t>Have HR review performance management system.</t>
  </si>
  <si>
    <t>Try and hire some of their contractors.  They have many good folks coming in and out of their doors.  Loyal and hard working people they should look more closely at.</t>
  </si>
  <si>
    <t>No suggestions to teleperformance management</t>
  </si>
  <si>
    <t>Can join</t>
  </si>
  <si>
    <t>Be mindful that not everyone learns in the same manner as the next person.  While wannting to be the best, it's necessary to be humble some time.</t>
  </si>
  <si>
    <t>Take a more personal interest in people and focus on retaining staff.</t>
  </si>
  <si>
    <t>Hold people accountable for their work and create a common set of working conditions across the organization.</t>
  </si>
  <si>
    <t>Lean into some of the proven methods for project management, business management, business analysis, and general day to day problem solving, and coach people this way, so that the skills are transferable and ultimately, everyone is uplifted.</t>
  </si>
  <si>
    <t>Give minorities and women a chance. You make it seem like only white men can be good at/exceed in IT. Yelling at your employees does not make them better.</t>
  </si>
  <si>
    <t>Stop MICRO managing your employees. Stop trying to make them like there best isn't good enough. Understand that co workers that cant have some sort of balance between life and work, they cant work to the best ability. (For Florida store or store that closed at 2p.m. on sat. that hours got extended) You are paying your employees to do nothing because no one is barely in the stores. If the bank is open 5days a week from 8 to 6. why stay open on sat. til 4. learn from other banks they barely have customers at this time. learn from europe, people understand to do there business early in the weekday and there business aren't hurt by it.</t>
  </si>
  <si>
    <t>Pay more</t>
  </si>
  <si>
    <t>Give emp6more formal training on key technologies</t>
  </si>
  <si>
    <t>Pay attention to those moving up the ladder that REQUIRE management and collaboration training along the way. Some are "growing up Google" with an idea that their way is the only way which is highly unfortunate. With the right training, this could be avoided.</t>
  </si>
  <si>
    <t>Increase pay</t>
  </si>
  <si>
    <t>Too big to listen. Too rich to care. Too absorbed to remember.</t>
  </si>
  <si>
    <t>Better planning</t>
  </si>
  <si>
    <t>you must like to live under pressure, is a quarter basis results company</t>
  </si>
  <si>
    <t>Follow the OSHA GUIDELINES
Give people their 30 minute lunches
When equipment is broken do not continue using it
Listen to your staff and their complaints
Buy something other than pizza to thank your employees</t>
  </si>
  <si>
    <t>Good luck</t>
  </si>
  <si>
    <t>A little fairness goes a long way.</t>
  </si>
  <si>
    <t>Stop going through employees periodically and try to keep us.</t>
  </si>
  <si>
    <t>You are oblivious to the big picture.</t>
  </si>
  <si>
    <t>Google has had a lot of growing pains into a large company, and that's completely understandable. It is a big company, and a great big company to work for if the work and culture match your preferences. However, weighing technical interviews heavily on the backs of interns looking to make a difference for their teams and the company is detrimental to morale and contributions. 
The SWE program is still a great opportunity for interns, but Google itself would have a lot to gain if this dogmatic aspect of the culture and process was fixed.</t>
  </si>
  <si>
    <t>Stop blaming and start taking responsibility</t>
  </si>
  <si>
    <t>Cut the VPs by 75% and hire back the 5000 foot soldiers you stupidly discarded in 2010.</t>
  </si>
  <si>
    <t>Don't just say "well, pick up the phone and dial more". Actually find a process of what works by trial and error and implement it</t>
  </si>
  <si>
    <t>do better</t>
  </si>
  <si>
    <t>Senior management seems to want to shift the culture by bringing in outside talent, but fails to understand that most of the cultural problems stem from executive leadership.</t>
  </si>
  <si>
    <t>Management would help, especially time management for clocking in on time of the shift.</t>
  </si>
  <si>
    <t>The goods ones leave early.. so the remaining are there for the paycheck.</t>
  </si>
  <si>
    <t>Trust in every cast members ability to do their job. Don't extinguish the light.</t>
  </si>
  <si>
    <t>Get your leadership right and promote people who really do the work rather than people who project to do the work.</t>
  </si>
  <si>
    <t>Get to know the process of the department you manage and attempt to learn that process and talk to associates</t>
  </si>
  <si>
    <t>Modernize your systems, especially the webste so that your site doesn't go down during EVERY sale.  It's time to clean house of some of your more tenured employees who know less than the newbies on the floor.</t>
  </si>
  <si>
    <t>Engage with your employees more often and put your laptops down, Most employees feel like they are treated like a number instead of a valuable part of the customer experience. Also, stop moving area managers around and allow them to actually build relationships with their employees.</t>
  </si>
  <si>
    <t>Let Elon Musk take over</t>
  </si>
  <si>
    <t>Increase wages, especially for new bees in the business, and do not pressure employees to make sales. Employees tend to hide decisive information from potential clients just to make a quick sale.</t>
  </si>
  <si>
    <t>Take advantage of the talent that the organization already has to close key gaps in sales and client management
Address the competitive losing streak and develop a strategy to start winning again
Make "focus on the customer" more than just something you say</t>
  </si>
  <si>
    <t>Not at the moment</t>
  </si>
  <si>
    <t>There are really brilliant people at the Business Leader level who should be promoted to Senior Business Leaders and Group Heads.</t>
  </si>
  <si>
    <t>Go to te ground</t>
  </si>
  <si>
    <t>If you continue to focus more on your numbers instead of your loyal customers &amp; employees, you will not only drive business away but also continue to have a high turnover rate. It use to be a pleasant place to work until the company decided to become more greedy. Lead by example &amp; listen to what people have to say that are actually giving 110% of their time just so the higher ups can get compensated for most of it.</t>
  </si>
  <si>
    <t>Care about your employees</t>
  </si>
  <si>
    <t>Start hiring more people to work in the branches. Cut it out with the cold calling and making the employees become work horses for 14 dollars an hour. Enough with putting so much pressure on the store managers because they in return make life hell for their employees.</t>
  </si>
  <si>
    <t>Pay more to get better people</t>
  </si>
  <si>
    <t>Treat employees as human not slaves</t>
  </si>
  <si>
    <t>Try to understand the field service more</t>
  </si>
  <si>
    <t>People are focused mostly inwards fighting windmills.
Nothing is changing, bad cooperation only reports matter.
Self marketing is extremely vital?!</t>
  </si>
  <si>
    <t>Be more transparent!!!!!!!!!!!!!</t>
  </si>
  <si>
    <t>To pay more attention to lower level staff.</t>
  </si>
  <si>
    <t>Keep transforming
Stop limiting to top tier school to improve diversity</t>
  </si>
  <si>
    <t>Give your staff more room to perform.</t>
  </si>
  <si>
    <t>Help and stop playing politics.</t>
  </si>
  <si>
    <t>I have no idea. Whatever is wrong is obviously systemic, and that normally means BoD needs to clean house at an executive level. Understand that experiences like these are sabotaging your professional reputation, and burying them is not going to help.</t>
  </si>
  <si>
    <t>There should be cross trainings for everybody(management and workers)</t>
  </si>
  <si>
    <t>stop judging employees</t>
  </si>
  <si>
    <t>Consider more flexible hours</t>
  </si>
  <si>
    <t>Management would be better if the uppers at the top weren't shouting out ridiculous demands</t>
  </si>
  <si>
    <t>No,</t>
  </si>
  <si>
    <t>Mentioned in pros and cons</t>
  </si>
  <si>
    <t>Pay for work and not previous salary</t>
  </si>
  <si>
    <t>Employees are also human not a bot, please show some respect and dignity.</t>
  </si>
  <si>
    <t>To watch for crew memes</t>
  </si>
  <si>
    <t>More transparency and accountability from management</t>
  </si>
  <si>
    <t>Address the real problem of inability to sell and BU presidents faking figures but loading wholesalers last minute and with huge discounts instead of cutting the blueprint continuously and stop promoting a***holes just because they can deliver short term</t>
  </si>
  <si>
    <t>Yes</t>
  </si>
  <si>
    <t>Encourage life/work balance and encourage managers to take notice of what their staff are acheiving esp in difficult times</t>
  </si>
  <si>
    <t>Come up with a better sales model. One of the major things on our scorecard was whether or not we were selling "hum", verizons joke of a competitor to onstar and triple A. This has nothing to do with phone service and people were constantly offset to have a car product forced on them at a phone store. I was forced to sell "hum" and other terrible up sell products to nice people who did not want them. every time I didn't successfully sell one I was given a negative "coaching" saying I wasn't doing my job but in reality people just don't want it or need it. I had multiple people come in with a note from a mechanic saying it literally damaged their vehicle. The trick that is taught is to change the customers Verizon plan in such a way that the cost of Hum and other add ons are hidden, so that they will agree to it, as most people simply were not interested in the product. It costs $10 a month so we were told to find a way to lower their bill by $10, tell them its "free" and get them locked into a 2 year contract. its painfully dishonest, and Verizon threatens its employees if they sell less than 4 of these per month
come up with a better schedule structure. In my store the best guy got the schedule he wanted and literally everyone else was at the mercy of "the computer" that schedules us. they said it was the least biased way to do things but I was a top performer and I was put off by this companies disregard of my personal needs. 
also they tell you they promote from within, but this is largely a joke. Only the people who</t>
  </si>
  <si>
    <t>Stop favoritism, be better resources for your team and help them succeed rather than roll them under the bus, push back on execs in unified numbers... but honestly,  they are in crap positions like the rest. As to CEO... culture starts at the top... even if he didn't start it,  he's responsible for setting the tone/fixing it.</t>
  </si>
  <si>
    <t>Be transparent. Allow students to solve complex issues and gain real experience.</t>
  </si>
  <si>
    <t>Replace your HR Department with a more professional Department.  There is no smoke without fire - so if many people are complaining and/or leaving because of one member of Senior Management then perhaps there is a problem that should be addressed and not just ignored.</t>
  </si>
  <si>
    <t>Make plans for strategic solutions rather than pushing for your own meaningless agendas, provide incentives for junior level employees to stay and feel motivated, listen to the advise of SMEs, stop ignoring complaints of harassment and inappropriate behaviour in the office. As a young female employee, I felt uncomfortable and unappreciated on a daily basis, and had to leave after 1.5 years. After 3 years out of the company, I think I still require therapy to recover from this horrible experience. DO NOT skip exit interviews. If you have high turnover in a team, it means there are major issues and you should keep an eye out for problematic managers/inappropriate teammates. HR should keep an eye on interoffice relationships in order to avoid major conflicts of interest.</t>
  </si>
  <si>
    <t xml:space="preserve">Listen to employees. Hold abusive leaders accountable </t>
  </si>
  <si>
    <t>Stop putting so much effort into faking a positive company culture and let it grow naturally by actually taking care of your employees. Pay them on time, put a stop to unprofessionalism and stop the gossiping and fraternising with the girls.</t>
  </si>
  <si>
    <t>Take pride in hiring people that actually want to work and do their job properly</t>
  </si>
  <si>
    <t>Concentrate on performance management, give clear picture on how to move up in the organization, work with HR partners to improve job satisfaction</t>
  </si>
  <si>
    <t>continue running the co-op program as it is being run. I learned so much through my co-op, and I am so glad I did it. I was not even interested in supply chain, and the management at JNJ made me want to work there after graduation.</t>
  </si>
  <si>
    <t>Address the root cause of business issues instead of blaming employees for lack of success. Make procedures easier.</t>
  </si>
  <si>
    <t>Pay techs and pharmacist more money, then turnover wouldn‚Äôt be so high.</t>
  </si>
  <si>
    <t>Recognition for a job well done goes a long way. Incentives only go so far if the work you do isn't supported and appreciated.</t>
  </si>
  <si>
    <t>Wise up and think about how to make your processes run for the longer term rather than based on the personality of the moment.</t>
  </si>
  <si>
    <t>Speak better and try harder to solve equipment issues.</t>
  </si>
  <si>
    <t>Train your leaders, organize schedules so the workload is reasonable.</t>
  </si>
  <si>
    <t>Streamline Home loan processing duties</t>
  </si>
  <si>
    <t>Keep it up!</t>
  </si>
  <si>
    <t>Nothing.</t>
  </si>
  <si>
    <t>Adopten nuevas modalidades para mantener a sus colaboradores felices</t>
  </si>
  <si>
    <t>Think about what drivers have to put up with.</t>
  </si>
  <si>
    <t>1. Keep new hires and offer them higher salaries.</t>
  </si>
  <si>
    <t>Focus on nurturing those from different backgrounds, rather than a comfort with the employees from legacy Chevron,</t>
  </si>
  <si>
    <t>Properly train and educate leadership positions instead of quick and untimely promotions. It starts at the top, so understand what feasible demands are for your company. If you want to yield better results then you need to make operational changes on a larger scale.</t>
  </si>
  <si>
    <t>Pls. Maintain same pace,</t>
  </si>
  <si>
    <t>What can I say?  Your broken corporate culture is so deeply entrenched that I hold no hope you'll ever change.</t>
  </si>
  <si>
    <t>Include "employee satisfaction" in the bottom line, with the numbers.</t>
  </si>
  <si>
    <t>Ninguno</t>
  </si>
  <si>
    <t>Try going back on a route for a few weeks. Experience the mess that has been made out of a once great company</t>
  </si>
  <si>
    <t>keep up the good work</t>
  </si>
  <si>
    <t>Listen</t>
  </si>
  <si>
    <t>You have been the best throughout my career. Keep rocking. Wishing you the best.</t>
  </si>
  <si>
    <t>Need to do there job properly and care about the staff</t>
  </si>
  <si>
    <t>Stay the way you are building up the reputation.</t>
  </si>
  <si>
    <t>Listen to your support staff and ASK FOR INPUT on projects that affect them (i.e. don't deprecate a perfectly fine working process that's actively being used and invest hours of engineering work into something that nobody asked for). Also convert more contractors - you're losing valuable and talented staff. Saw a handful of really talented (and universally liked - THAT is hard) PgMs leave because there were no conversion opportunities.</t>
  </si>
  <si>
    <t>Please make your employees wash their hands more often.</t>
  </si>
  <si>
    <t>N/a</t>
  </si>
  <si>
    <t>Muitas! A come√ßar por dar valor a quem trabalha de verdade e n√£o a quem participa de ch√°caras de fim de ano ( que na verdade, s√≥ vai quem √© escolhido previamente pelos efetivos). N√£o escolher quem puxa saco, isso desmotiva muito quem realmente quer.</t>
  </si>
  <si>
    <t>Stop discriminatory practices against foreing hires.  You should get rid of the bell curve that you promised to get rid of two years ago.  Promote a meritocracy based promotion system rather than the seniority based legacy system that still exists today.  You should conduct full 360 evaluations with more than 4 stakeholders evaluating people rather that the current 2 evaluator system which really is a one evaluator system (everybody knows this)</t>
  </si>
  <si>
    <t>You have the best, most creative, most passionate employees. They are not numbers on a spreadsheet, they are partners who will happily bring you greater success if you just let them create it for you.</t>
  </si>
  <si>
    <t>Fire some of the managers. The moral is down all of the time. If it wasn't for the benefits, they would have huge turnover. This is no Oliver Twist! Get rid of these petty kings and queens! Off with their heads!</t>
  </si>
  <si>
    <t>Continue to build your talent capital, as Google has solidified its brand for having employed some of the best and the brightest. Don't fall prey to the politics that has engulfed some of your earlier competitors.</t>
  </si>
  <si>
    <t>do your best</t>
  </si>
  <si>
    <t>Put some thought into hiring and layoffs, stop using old tech, pay people what they‚Äôre worth, make people feel valued, and stop with the cheesy and pointless trainings.</t>
  </si>
  <si>
    <t>Sell the company already. Stock price was at $40 ten years ago. They paid 27 billion for Guidant and now the market cap is 9 billion. Now, Stock price is $5. So you can buy BSC for 51% of the $9 Billion and you get Guidant for free! 
If you do not like the company then just wait a little while and a new CEO will get hired. They are on their 4th CEO in past 4+ years.</t>
  </si>
  <si>
    <t>Raise the commission or base salary to compete with other banks.</t>
  </si>
  <si>
    <t>Should adopt 5 day working culture</t>
  </si>
  <si>
    <t>Difficult to advise management, when the business model is an extremely profitable one, so current "way of doing things" is perpetuated as it is validated by results.</t>
  </si>
  <si>
    <t>Bring back mid-sized sedans- with Covid-19 here to stay, you will find businesses want company cars that don't share the ride (social distancing) and make it electric.</t>
  </si>
  <si>
    <t>Need to hold the managers accountable for correctly and fully using staff resources</t>
  </si>
  <si>
    <t>Do not assume everyone who works there is stupid and have more sympathy for your workers</t>
  </si>
  <si>
    <t>Get rid of your terrible people managers rather than sticking with them and laying off others who are actually good at their jobs.</t>
  </si>
  <si>
    <t>Keep pushing to get everyone focused on the bigger opportunities. Visa is a great place to work today and is on the right track to be even better in the future.</t>
  </si>
  <si>
    <t>Learn your position and don't punish people for trying to help other employees</t>
  </si>
  <si>
    <t>Thank you for your support</t>
  </si>
  <si>
    <t>Keep up the good work</t>
  </si>
  <si>
    <t>nope</t>
  </si>
  <si>
    <t>Na</t>
  </si>
  <si>
    <t>Assign individuals with the proper balance of collaboration/communication skills and long-term vision. Assigning a non-people person (who has a poor professional reputation within the firm) that cannot delegate because he doesn't "trust the other people"is a sure-fire way to ensure the failure of the major compliance project. Ensure the employee tasked doesn't suffer from extreme tunnel vision and understands not everything is task-based; they must understand stakeholder engagement and following due (enterprise-wide) methodologies/processes is a beneficial, if not essential, part of managing a massive change positively.</t>
  </si>
  <si>
    <t>be fair and equal on all nationalities.</t>
  </si>
  <si>
    <t>You are not management ,it's a bunch of kids running around playing boss</t>
  </si>
  <si>
    <t>for myself and my situation, i think that things could have been changed up more than what was done, had a office lady at the window that was very rude and disrespectful repeatably ,she was reported more than a few times from me and other drivers ,it got to the point that instead of returning to office to deal with her on her shifts a lot of the drivers would elect to just not do extra work and just do a sing 3-4 trip run....</t>
  </si>
  <si>
    <t>Focus on ensuring employees are fully utilised and work in areas that are important to their role instead of just loitering and hoping form task to task.</t>
  </si>
  <si>
    <t>Olhar mais para as dores dos executivos no campo.</t>
  </si>
  <si>
    <t>Assess knowledge and if meaningful directives/strategies are being implemented from the top down.</t>
  </si>
  <si>
    <t>A very good opportunity to learn and grow your professional career</t>
  </si>
  <si>
    <t>Jungen Leuten mehr Chancen geben</t>
  </si>
  <si>
    <t>keep on doing great and people oriented</t>
  </si>
  <si>
    <t>Base sales on the area not past numbers.</t>
  </si>
  <si>
    <t>communiceren</t>
  </si>
  <si>
    <t>Give fair raises based on performance and time at the job.</t>
  </si>
  <si>
    <t>Keep doing what you're doing!!</t>
  </si>
  <si>
    <t>Piu attenzione al tempo.</t>
  </si>
  <si>
    <t>RAS</t>
  </si>
  <si>
    <t>Set a winning strategy and execute it. Smaller teams &amp;gt; Bigger teams. Clear up roles and reduce friction/churn.</t>
  </si>
  <si>
    <t>Increase the staff pay , leave some option for career advancement</t>
  </si>
  <si>
    <t>Transparency.</t>
  </si>
  <si>
    <t>Ser m√°s data driven y menos "a mi me gusta"</t>
  </si>
  <si>
    <t>Support staff closer</t>
  </si>
  <si>
    <t>just be chill and don‚Äôt take it too seriously, it‚Äôs nothing to stress abour</t>
  </si>
  <si>
    <t>See above comments and sort your culture out. Illegal discriminatory behaviours are the norm. You have a culture of covering up errors and scapegoating to protect management.</t>
  </si>
  <si>
    <t>Take feedback from employee poll seriously and not just immediately shut down requests or ideas.
Help to foster team growth and encourage dedicating some time each week to learn something new.
Help new employees by setting up a mentor or introducing new folks to each other.</t>
  </si>
  <si>
    <t>Include outsiders in management....not people who made the mistakes of big pharma</t>
  </si>
  <si>
    <t>N/A, y'all are great</t>
  </si>
  <si>
    <t>autocratic type of management</t>
  </si>
  <si>
    <t>Just change everything, fire the entire HR team and put a better one.</t>
  </si>
  <si>
    <t>Less bureaucracy, particularly between roles that maintain similar experience levels. Greater listening to system improvement recommendations made by the employees who utilize those applications daily.</t>
  </si>
  <si>
    <t>Cut down on bureaucracy</t>
  </si>
  <si>
    <t>Give everyone an equal chance to progress instead of favoring established staff with the same old ideas</t>
  </si>
  <si>
    <t>Take care of the people building the product show some appreciation for their efforts on a day to day bases.</t>
  </si>
  <si>
    <t>Plenty of management training</t>
  </si>
  <si>
    <t>give more training chance</t>
  </si>
  <si>
    <t>Keep up the good work!</t>
  </si>
  <si>
    <t>One thing that I would like to comment on is that fact that it's time to stop flying by the seat of your pants. Forethought and real project management is essential.</t>
  </si>
  <si>
    <t>Listen to the ‚Äúlittle‚Äù people below</t>
  </si>
  <si>
    <t>Quit looking for buttlickers and put some conscious people in there!!</t>
  </si>
  <si>
    <t>Stop hiring people who acted like police. Stop acting like we can reach out for help if we needed to. Stop acting like we get PTO.</t>
  </si>
  <si>
    <t>Dont promote people that clearly mislead customers and have been known to do so.  The only promoting from within and only based on numbers created the dynamic of bad sales practices.</t>
  </si>
  <si>
    <t>Hire competent people</t>
  </si>
  <si>
    <t>Try to see if there is a better approach than the regional model. It might be making it difficult for MDs even to staff.</t>
  </si>
  <si>
    <t>None.</t>
  </si>
  <si>
    <t>Look after top performing staff instead of those who say that right things but deliver little value to the business.</t>
  </si>
  <si>
    <t>Advise students on where to live</t>
  </si>
  <si>
    <t>The answer to increasing revenues is not to lay off all your employees.</t>
  </si>
  <si>
    <t>Break up the company and sell it because it‚Äôs too old</t>
  </si>
  <si>
    <t>Etaler davantage  le processus de formation</t>
  </si>
  <si>
    <t>be nicer and less intimidating to staff.</t>
  </si>
  <si>
    <t>Give more opps to junior staff</t>
  </si>
  <si>
    <t>Get out into the field and help the RSRs occasionally.  Show you really care.  Also, don't call or visit store managers only when you need to push in a lot of product or need to sell a display.  Act like you genuinely care about their needs.</t>
  </si>
  <si>
    <t>Review pay. Give genuine opportunity to move up rather than just around</t>
  </si>
  <si>
    <t>A slightly more rigorous recruitment process</t>
  </si>
  <si>
    <t>Australian Management should pitch in to remove micromanagement by anonymous feedbacks on regular basis</t>
  </si>
  <si>
    <t>Treat people with respect</t>
  </si>
  <si>
    <t>Stop moving jobs out of the USA.</t>
  </si>
  <si>
    <t>Ninguna</t>
  </si>
  <si>
    <t>Be better</t>
  </si>
  <si>
    <t>Listen to those who need to be heard. Like actually listen</t>
  </si>
  <si>
    <t>Keep trying to reduce the adversarial relationship with the Unions.</t>
  </si>
  <si>
    <t>Improve the work- life balance and at least give associate some job security</t>
  </si>
  <si>
    <t>Restructurez les services pour une hi√©rarchie plus souple et √† l‚Äô√©coute des collaborateurs.</t>
  </si>
  <si>
    <t>Invest in soft skills, understand the science, elevate your workers, don't single out employees, understand the challenges women face in a male oriented occupation and how behavioral expectations should be more flexible</t>
  </si>
  <si>
    <t>Would like longer breaks
Also to know exactly who our manager was for the shift.</t>
  </si>
  <si>
    <t>Have more healthy foods</t>
  </si>
  <si>
    <t>Keep up the excellent work.</t>
  </si>
  <si>
    <t>Your profit motives are good for your shareholders, but they are not good for your hard working employees.  How about a cost of living raise?   I never got one.</t>
  </si>
  <si>
    <t>Recognize your talent or they will leave.</t>
  </si>
  <si>
    <t>Don't follow the trend of temp employment, cutting benefits, and reducing team building to save a buck.</t>
  </si>
  <si>
    <t>Listen to employees</t>
  </si>
  <si>
    <t>Better resources for heavy loads</t>
  </si>
  <si>
    <t>Practice what you preach!  You say it's a safe place to speak up but when flags are raised you choose to eliminate the whistle blowers instead of solving the problems!  Take a hard look at your supervisors and managers; there is definitely a problem there.  It is your 3-10 year employees in all departments who continue to keep BHP afloat.  Why not recognize these hard working employees who give their all day in and day out?</t>
  </si>
  <si>
    <t>You are all too good :)</t>
  </si>
  <si>
    <t>Great managements</t>
  </si>
  <si>
    <t>Be nicer and stop showing hate</t>
  </si>
  <si>
    <t>Covid-19 has been handled terribly by forcing people to return to office.
I'm thankful for finding a new job where employers are more understanding.</t>
  </si>
  <si>
    <t>Awesome</t>
  </si>
  <si>
    <t>Stop giving away the product.</t>
  </si>
  <si>
    <t>listen to employees more often and really endgaget with them, don‚Äôt act like you are in high school, loose the hierarchy game it doesn‚Äôt help</t>
  </si>
  <si>
    <t>Please actually set up an in office.</t>
  </si>
  <si>
    <t>Get new management</t>
  </si>
  <si>
    <t>be nice to the associates</t>
  </si>
  <si>
    <t>Worst Company Ever</t>
  </si>
  <si>
    <t>Digital Sales Irving, TX is a mixed bag.</t>
  </si>
  <si>
    <t>Sorry Microsoft - crummy place to work.</t>
  </si>
  <si>
    <t>You feel very disposable.</t>
  </si>
  <si>
    <t>Benefits are okay.</t>
  </si>
  <si>
    <t>The worst place you'll ever work.</t>
  </si>
  <si>
    <t>Horrendous management.</t>
  </si>
  <si>
    <t>No help, long hours, miserable environment.</t>
  </si>
  <si>
    <t>Know what you're getting into.</t>
  </si>
  <si>
    <t>Best Professional Growth and Development.</t>
  </si>
  <si>
    <t>Great company ruined by horrible management.</t>
  </si>
  <si>
    <t>High Turnover for a reason.</t>
  </si>
  <si>
    <t>Your job is in the hands of drunk, stoned, or angry passengers. Can good judgment be expected from them?</t>
  </si>
  <si>
    <t>Terrible company to work for.</t>
  </si>
  <si>
    <t>Save your Mental Health.</t>
  </si>
  <si>
    <t>Wonderful company.</t>
  </si>
  <si>
    <t>Poor Management.</t>
  </si>
  <si>
    <t>High School Revisited.</t>
  </si>
  <si>
    <t>Leadership Lacks Integrity.</t>
  </si>
  <si>
    <t>Work hard, avoid drama.</t>
  </si>
  <si>
    <t>One of the top employers.</t>
  </si>
  <si>
    <t>Review for McDonald's.</t>
  </si>
  <si>
    <t>Solid place to work.</t>
  </si>
  <si>
    <t>Good Company.</t>
  </si>
  <si>
    <t>Stay Far Away.</t>
  </si>
  <si>
    <t>Great Company.</t>
  </si>
  <si>
    <t>Shambolic mid to senior management.</t>
  </si>
  <si>
    <t>Company Review.</t>
  </si>
  <si>
    <t>Good Experience overall.</t>
  </si>
  <si>
    <t>Don't Apply Here.</t>
  </si>
  <si>
    <t>You will work hard and not get paid much.</t>
  </si>
  <si>
    <t>Not the worst place, but stale, outdated, and inefficient.</t>
  </si>
  <si>
    <t>Safe, boring, non-existent growth.</t>
  </si>
  <si>
    <t>Pathetic .25 cent raise after working during COVID-19</t>
  </si>
  <si>
    <t>THE WORST PLACE TO WORK!</t>
  </si>
  <si>
    <t>Unsupportive</t>
  </si>
  <si>
    <t>Here people work for overtime and money only</t>
  </si>
  <si>
    <t>Do yourself a favor - RUN!</t>
  </si>
  <si>
    <t>Avoid at all cost!</t>
  </si>
  <si>
    <t>I enjoyed working at Merck until my department was OUTSOURCED to India. Seems to be the trend.</t>
  </si>
  <si>
    <t>A good company in general</t>
  </si>
  <si>
    <t>Excellent for career start</t>
  </si>
  <si>
    <t>Good company to work for.</t>
  </si>
  <si>
    <t>Not good for freshers, but good for experienced individuals due to handsome salary.</t>
  </si>
  <si>
    <t>The company rejected me after giving an offer letter as a fresher, two months later. Never trust this company again.</t>
  </si>
  <si>
    <t>Burnout guaranteed.</t>
  </si>
  <si>
    <t>Great opportunities and great people.</t>
  </si>
  <si>
    <t>Stay away from this company. As previously stated, they lie and manipulate.</t>
  </si>
  <si>
    <t>Expect a problematic 'grad culture' in Mumbai Technology.</t>
  </si>
  <si>
    <t>Good experience.</t>
  </si>
  <si>
    <t>Do not join.</t>
  </si>
  <si>
    <t>Good old boys club.</t>
  </si>
  <si>
    <t>Great company.</t>
  </si>
  <si>
    <t>Too big.</t>
  </si>
  <si>
    <t>Liars, scammers, or frauds‚Äîit's hard to tell which one.</t>
  </si>
  <si>
    <t>Enjoyable time.</t>
  </si>
  <si>
    <t>Lacks good leadership.</t>
  </si>
  <si>
    <t>Poor management and women are not treated well.</t>
  </si>
  <si>
    <t>Do not value employees.</t>
  </si>
  <si>
    <t>Terrible experience overall; do not recommend.</t>
  </si>
  <si>
    <t>Avoid.</t>
  </si>
  <si>
    <t>Humiliation all around.</t>
  </si>
  <si>
    <t>Terrible place.</t>
  </si>
  <si>
    <t>Underpaid and understaffed.</t>
  </si>
  <si>
    <t>Terrible upper management made work frustrating.</t>
  </si>
  <si>
    <t>Another service-based company calling itself a product-based company.</t>
  </si>
  <si>
    <t>One of the worst MNCs to work for; a mistake in my life.</t>
  </si>
  <si>
    <t>A good place to work despite a few difficult individuals.</t>
  </si>
  <si>
    <t>You have to work to get the rewards.</t>
  </si>
  <si>
    <t>Bad place to work.</t>
  </si>
  <si>
    <t>Great CEO, but other executives are not as good.</t>
  </si>
  <si>
    <t>Fast-growing company with many opportunities for growth.</t>
  </si>
  <si>
    <t>Unfair termination.</t>
  </si>
  <si>
    <t>Rough Times - Do not recommend</t>
  </si>
  <si>
    <t>Could be good but can never be great.</t>
  </si>
  <si>
    <t>Fired after 2 weeks, signed on to a 'year long contract'.</t>
  </si>
  <si>
    <t>High Turnover</t>
  </si>
  <si>
    <t>Most degrading company I ever worked for.</t>
  </si>
  <si>
    <t>It was a bad experience.</t>
  </si>
  <si>
    <t>Great Work-Life Balance with lots of development opportunities.</t>
  </si>
  <si>
    <t>Stuck in the same position.</t>
  </si>
  <si>
    <t>Bad experience.</t>
  </si>
  <si>
    <t>Join only if you have no other offers.</t>
  </si>
  <si>
    <t>Some good apples, but the roots are rotten.</t>
  </si>
  <si>
    <t>Looks aren't always as they appear.</t>
  </si>
  <si>
    <t>Stressful environment, would not recommend.</t>
  </si>
  <si>
    <t>Mixed messages on objectives.</t>
  </si>
  <si>
    <t>People managing the departments are ineffective.</t>
  </si>
  <si>
    <t>All bad reviews are true, even old ones; problems have persisted for a while. Stay away!</t>
  </si>
  <si>
    <t>Great team, learned a lot, but upper management is chaotic.</t>
  </si>
  <si>
    <t>Started good, ended poorly.</t>
  </si>
  <si>
    <t>Feedback for customer care.</t>
  </si>
  <si>
    <t>How is it working with TP.</t>
  </si>
  <si>
    <t>Fantastic experience.</t>
  </si>
  <si>
    <t>Great, Innovative Company.</t>
  </si>
  <si>
    <t>Team Leader - Teleperformance.</t>
  </si>
  <si>
    <t>Not a company that values its employees.</t>
  </si>
  <si>
    <t>It's not as fancy as portrayed.</t>
  </si>
  <si>
    <t>Nice work environment but low pay.</t>
  </si>
  <si>
    <t>Internal project work culture is toxic.</t>
  </si>
  <si>
    <t>Okay place.</t>
  </si>
  <si>
    <t>A good process and regulation-based banking organization.</t>
  </si>
  <si>
    <t>Worst place to work, terrible culture, toxic work environment.</t>
  </si>
  <si>
    <t>Overall good work-life balance.</t>
  </si>
  <si>
    <t>Good place to work.</t>
  </si>
  <si>
    <t>Good place to start.</t>
  </si>
  <si>
    <t>Demanding.</t>
  </si>
  <si>
    <t>Private Banking Career.</t>
  </si>
  <si>
    <t>Worst company to work with.</t>
  </si>
  <si>
    <t>Great job.</t>
  </si>
  <si>
    <t>Do not work for them unless you hate yourself.</t>
  </si>
  <si>
    <t>Chevron Restructuring.</t>
  </si>
  <si>
    <t>Avoid at all costs unless you like ripping people off.</t>
  </si>
  <si>
    <t>Management makes or breaks it.</t>
  </si>
  <si>
    <t>Struggling organization.</t>
  </si>
  <si>
    <t>Absolutely horrible experience! Don't waste your time!</t>
  </si>
  <si>
    <t>Drink the Kool-Aid or leave; free thinkers need not apply.</t>
  </si>
  <si>
    <t>Toxic.</t>
  </si>
  <si>
    <t>Probably the least enjoyable bank to work for.</t>
  </si>
  <si>
    <t>Just okay.</t>
  </si>
  <si>
    <t>Merged with TRPC Retirement Plan Company; employees are now treated as assets without job security.</t>
  </si>
  <si>
    <t>Okay place to work.</t>
  </si>
  <si>
    <t>Poor management and poor HR.</t>
  </si>
  <si>
    <t>Great benefits for part-time workers too.</t>
  </si>
  <si>
    <t>There's tradition, and there's downright old-fashioned.</t>
  </si>
  <si>
    <t>Spoiled my three years.</t>
  </si>
  <si>
    <t>Run for your life.</t>
  </si>
  <si>
    <t>The right hand doesn't know what the left hand is doing.</t>
  </si>
  <si>
    <t>Great place to work.</t>
  </si>
  <si>
    <t>Mismanaged, unsustainable, unstable.</t>
  </si>
  <si>
    <t>Stay away.</t>
  </si>
  <si>
    <t>Rollercoaster.</t>
  </si>
  <si>
    <t>A company in total disarray; run very far away, very fast.</t>
  </si>
  <si>
    <t>Good place, but lots of headaches.</t>
  </si>
  <si>
    <t>Work environment.</t>
  </si>
  <si>
    <t>Weak leadership and deep-rooted problems.</t>
  </si>
  <si>
    <t>The worst kind of hypocrisy.</t>
  </si>
  <si>
    <t>Good money, no family life.</t>
  </si>
  <si>
    <t>Save yourself.</t>
  </si>
  <si>
    <t>Great company to work for, especially as a first job in the workforce.</t>
  </si>
  <si>
    <t>Leadership.</t>
  </si>
  <si>
    <t>Growth at the beginning, then toxic and stressful afterwards.</t>
  </si>
  <si>
    <t>P&amp;G was great, but locations weren't for me.</t>
  </si>
  <si>
    <t>Marketing department.</t>
  </si>
  <si>
    <t>Not recommended.</t>
  </si>
  <si>
    <t>Shambles; look elsewhere.</t>
  </si>
  <si>
    <t>Best management and company.</t>
  </si>
  <si>
    <t>Cash applications role.</t>
  </si>
  <si>
    <t>CFS Specialist role.</t>
  </si>
  <si>
    <t>Do not work here.</t>
  </si>
  <si>
    <t>Lack of maker and checker system for daily decisions.</t>
  </si>
  <si>
    <t>Samsung is not an opportunity.</t>
  </si>
  <si>
    <t>Tall poppies get cut down, and don't get Covid.</t>
  </si>
  <si>
    <t>Mixed experience.</t>
  </si>
  <si>
    <t>Covid-19 negatively impacted the company.</t>
  </si>
  <si>
    <t>Used to be a great company.</t>
  </si>
  <si>
    <t>Average experience.</t>
  </si>
  <si>
    <t>Relationship Manager, Operations Marketing, Bank Branded Cards.</t>
  </si>
  <si>
    <t>Decent mid-sized government contractor.</t>
  </si>
  <si>
    <t>Good company to work at.</t>
  </si>
  <si>
    <t>Felt let down by this company; it makes the motor trade look awesome by comparison.</t>
  </si>
  <si>
    <t>Toxic leadership and inability to drive change.</t>
  </si>
  <si>
    <t>Too big and too slow.</t>
  </si>
  <si>
    <t>Challenging work, crazy environment, and no management support.</t>
  </si>
  <si>
    <t>It's just a job.</t>
  </si>
  <si>
    <t>High employee turnover.</t>
  </si>
  <si>
    <t>Broken privacy.</t>
  </si>
  <si>
    <t>Hard work is unappreciated.</t>
  </si>
  <si>
    <t>Worst place to work. Claims about 'People and Culture' are lies.</t>
  </si>
  <si>
    <t>Work was okay.</t>
  </si>
  <si>
    <t>Lies and low pay are standard operating procedure.</t>
  </si>
  <si>
    <t>Think carefully before committing.</t>
  </si>
  <si>
    <t>Utter disappointment.</t>
  </si>
  <si>
    <t>Good environment.</t>
  </si>
  <si>
    <t>Bullying culture.</t>
  </si>
  <si>
    <t>Management is running this company into the ground.</t>
  </si>
  <si>
    <t>Big dream, but only a dream.</t>
  </si>
  <si>
    <t>Nice job for freshers.</t>
  </si>
  <si>
    <t>Overpromised and underdelivered on company culture.</t>
  </si>
  <si>
    <t>Outstanding company with great growth potential.</t>
  </si>
  <si>
    <t>The company will bring out the worst in you.</t>
  </si>
  <si>
    <t>3 years of experience, multitasking, interested in technology.</t>
  </si>
  <si>
    <t>Excellent company, bring your gusto to make your own success.</t>
  </si>
  <si>
    <t>Run away from this sinking ship.</t>
  </si>
  <si>
    <t>Run far away.</t>
  </si>
  <si>
    <t>A working nightmare because of regional management.</t>
  </si>
  <si>
    <t>Unequal pay.</t>
  </si>
  <si>
    <t>Amazing and fascinating experience that shaped my career.</t>
  </si>
  <si>
    <t>Great agency to learn and grow.</t>
  </si>
  <si>
    <t>Horrible.</t>
  </si>
  <si>
    <t>Downward spiral from a great thing.</t>
  </si>
  <si>
    <t>Avoid Newsy.</t>
  </si>
  <si>
    <t>Good part-time job.</t>
  </si>
  <si>
    <t>Will work you to death.</t>
  </si>
  <si>
    <t>Run by perfectionists.</t>
  </si>
  <si>
    <t>Great stepping stone.</t>
  </si>
  <si>
    <t>Just don't do it.</t>
  </si>
  <si>
    <t>Fine, but nothing special.</t>
  </si>
  <si>
    <t>Revolving door.</t>
  </si>
  <si>
    <t>Good overall company, but bad benefits.</t>
  </si>
  <si>
    <t>My 1Path experience.</t>
  </si>
  <si>
    <t>Lighting decor specialist, finding the right product to suit customers' needs with a positive attitude.</t>
  </si>
  <si>
    <t>Working for CAT.</t>
  </si>
  <si>
    <t>Finance.</t>
  </si>
  <si>
    <t>Great company to work for.</t>
  </si>
  <si>
    <t>Tesla Owner Advisor.</t>
  </si>
  <si>
    <t>Bad place to work; people come and go due to the toxicity of managers and team leaders.</t>
  </si>
  <si>
    <t>Good if you play the game.</t>
  </si>
  <si>
    <t>It served its purpose; I learned about the transportation industry.</t>
  </si>
  <si>
    <t>Family atmosphere.</t>
  </si>
  <si>
    <t>Terrible, unscrupulous business practices.</t>
  </si>
  <si>
    <t>Always keep an eye out for a new job.</t>
  </si>
  <si>
    <t>Company that needs to reinvent its management and adapt to modern times.</t>
  </si>
  <si>
    <t>Too corporate.</t>
  </si>
  <si>
    <t>Verizon's workplace experience.</t>
  </si>
  <si>
    <t>Not a great place.</t>
  </si>
  <si>
    <t>It's an okay place to work.</t>
  </si>
  <si>
    <t>Great company, lots of opportunities.</t>
  </si>
  <si>
    <t>Constant flow of calls every day.</t>
  </si>
  <si>
    <t>Teller.</t>
  </si>
  <si>
    <t>Salary.</t>
  </si>
  <si>
    <t>Cool place.</t>
  </si>
  <si>
    <t>Good company.</t>
  </si>
  <si>
    <t>Beware inarticulate bosses.</t>
  </si>
  <si>
    <t>I'd rather stick my foot in a blender and eat a foot smoothie for lunch than go back to XLN</t>
  </si>
  <si>
    <t>If you want to lose your work ethics and integrity, this is the place!</t>
  </si>
  <si>
    <t>Company that believes in growing together with its employees</t>
  </si>
  <si>
    <t>Corporate, safe, but it‚Äôs all about the partners</t>
  </si>
  <si>
    <t>Micromanagement</t>
  </si>
  <si>
    <t>REX has failed.</t>
  </si>
  <si>
    <t>Save your life, Abort! Abort! Do not join even if it is your last option</t>
  </si>
  <si>
    <t>Be careful, it's all smoke and mirrors.</t>
  </si>
  <si>
    <t>Corporate company disguised by greenwashing</t>
  </si>
  <si>
    <t>Never work here.</t>
  </si>
  <si>
    <t>The whole hierarchy needs to be reallocated.</t>
  </si>
  <si>
    <t>Toxic, nightmare CEO.</t>
  </si>
  <si>
    <t>Two years of slavery.</t>
  </si>
  <si>
    <t>Lying about pay.</t>
  </si>
  <si>
    <t>Interesting work, great colleagues, terrific developmental opportunities.</t>
  </si>
  <si>
    <t>Grill-fry and line work.</t>
  </si>
  <si>
    <t>Not the best.</t>
  </si>
  <si>
    <t>Toxic culture.</t>
  </si>
  <si>
    <t>Not a good company.</t>
  </si>
  <si>
    <t>Well-operated company.</t>
  </si>
  <si>
    <t>Good people, poor management.</t>
  </si>
  <si>
    <t>Culture shift felt forced, not organic.</t>
  </si>
  <si>
    <t>Toxic! Half of the people have been terminated, half quit.</t>
  </si>
  <si>
    <t>It's a disaster.</t>
  </si>
  <si>
    <t>Fraud company. They will not pay even half of the promised stipend. I have proof.</t>
  </si>
  <si>
    <t>Do not recommend.</t>
  </si>
  <si>
    <t>Small agency without some benefits.</t>
  </si>
  <si>
    <t>Horrifyingly terrible. Do not work here.</t>
  </si>
  <si>
    <t>Great place for learning and advancement.</t>
  </si>
  <si>
    <t>Overworked.</t>
  </si>
  <si>
    <t>Young and inexperienced management.</t>
  </si>
  <si>
    <t>It's difficult to be talented at Ingram.</t>
  </si>
  <si>
    <t>Average.</t>
  </si>
  <si>
    <t>You will learn a lot about being a leader and how to work with others.</t>
  </si>
  <si>
    <t>Sales.</t>
  </si>
  <si>
    <t>Do not work there.</t>
  </si>
  <si>
    <t>Inhumane, painful, and humiliating.</t>
  </si>
  <si>
    <t>Wow.</t>
  </si>
  <si>
    <t>Great culture, but the company can do better.</t>
  </si>
  <si>
    <t>Do not do it.</t>
  </si>
  <si>
    <t>Pockets of greatness.</t>
  </si>
  <si>
    <t>Broken people in a broken workplace.</t>
  </si>
  <si>
    <t>Long hours, tight pay, no loyalty.</t>
  </si>
  <si>
    <t>Law breakers.</t>
  </si>
  <si>
    <t>If you're a processor thinking you'll process here, no. This is a call center.</t>
  </si>
  <si>
    <t>Underpaid and undervalued.</t>
  </si>
  <si>
    <t>Not recommending anyone to apply.</t>
  </si>
  <si>
    <t>Unprepared leadership, archaic company without humanity.</t>
  </si>
  <si>
    <t>Avoid unless you like chop shops.</t>
  </si>
  <si>
    <t>Good pay, not a great environment.</t>
  </si>
  <si>
    <t>Door-to-door sales.</t>
  </si>
  <si>
    <t>Poor leadership.</t>
  </si>
  <si>
    <t>Get paid to do nothing.</t>
  </si>
  <si>
    <t>Not worth it.</t>
  </si>
  <si>
    <t>Get your foot in the door, then get out.</t>
  </si>
  <si>
    <t>Petty and unprofessional.</t>
  </si>
  <si>
    <t>Treat employee like a number.</t>
  </si>
  <si>
    <t>Worst culture and leadership.</t>
  </si>
  <si>
    <t>Wouldn't Do It Again.</t>
  </si>
  <si>
    <t>Design for drawbridges.</t>
  </si>
  <si>
    <t>An honest truth for my time with WPG.</t>
  </si>
  <si>
    <t>Cult-like Environment.</t>
  </si>
  <si>
    <t>Disorganized company.</t>
  </si>
  <si>
    <t>Food Tech.</t>
  </si>
  <si>
    <t>Cut-throat culture.</t>
  </si>
  <si>
    <t>Analytics.</t>
  </si>
  <si>
    <t>Administrative Secretary.</t>
  </si>
  <si>
    <t>Unhealthy work environment, terrible middle management, and no tech culture.</t>
  </si>
  <si>
    <t>Not for everyone.</t>
  </si>
  <si>
    <t>Broken Promises &amp; Favoritism.</t>
  </si>
  <si>
    <t>Shallow-minded, rampant favoritism.</t>
  </si>
  <si>
    <t>Teamwork.</t>
  </si>
  <si>
    <t>Uncompetitive in Canada.</t>
  </si>
  <si>
    <t>Low Pay, No raises (2% at best), &amp; Archaic, Inflexible, Micromanaging Executive Leadership.</t>
  </si>
  <si>
    <t>Senior Consultant.</t>
  </si>
  <si>
    <t>Senior Advisor.</t>
  </si>
  <si>
    <t>Great atmosphere.</t>
  </si>
  <si>
    <t>Worst job in my life.</t>
  </si>
  <si>
    <t>Flexible work.</t>
  </si>
  <si>
    <t>There‚Äôs better opportunities out there.</t>
  </si>
  <si>
    <t>Positive Review - little bad to say.</t>
  </si>
  <si>
    <t>Good for freshers and not for experienced.</t>
  </si>
  <si>
    <t>Will never wish it on anyone.</t>
  </si>
  <si>
    <t>I don't recommend it.</t>
  </si>
  <si>
    <t>Toxic 'Family' Culture.</t>
  </si>
  <si>
    <t>Lack of investment into plant and employees.</t>
  </si>
  <si>
    <t>Love doing what I do if I could actually do my job.</t>
  </si>
  <si>
    <t>No plan, no action.</t>
  </si>
  <si>
    <t>I HATED IT.</t>
  </si>
  <si>
    <t>Run in the other direction.</t>
  </si>
  <si>
    <t>I am grateful to have worked for Parexel. A great place to learn and grow professionally.</t>
  </si>
  <si>
    <t>A company for nepotism.</t>
  </si>
  <si>
    <t>Outstanding company.</t>
  </si>
  <si>
    <t>An ever-changing workplace.</t>
  </si>
  <si>
    <t>Teamwork is lacking.</t>
  </si>
  <si>
    <t>Preys on industry newbies, similar to the rest of the industry.</t>
  </si>
  <si>
    <t>Poorly managed work experience.</t>
  </si>
  <si>
    <t>Good company to start your career.</t>
  </si>
  <si>
    <t>Glorified slave labor.</t>
  </si>
  <si>
    <t>Previous employee.</t>
  </si>
  <si>
    <t>Money-hungry, not focused on education.</t>
  </si>
  <si>
    <t>Worst place to work.</t>
  </si>
  <si>
    <t>Useful for starting a career in scientific sales.</t>
  </si>
  <si>
    <t>Good company in general.</t>
  </si>
  <si>
    <t>Good for learning management consulting processes and procedures.</t>
  </si>
  <si>
    <t>Take the job but continue seeking other opportunities.</t>
  </si>
  <si>
    <t>Zero work-life balance for the production team.</t>
  </si>
  <si>
    <t>Great if you lack experience and can tolerate abuse.</t>
  </si>
  <si>
    <t>Mediocrity all around, especially in leadership.</t>
  </si>
  <si>
    <t>The company is in disarray.</t>
  </si>
  <si>
    <t>Agrees with management sentiment.</t>
  </si>
  <si>
    <t>Retrospective on WWS.</t>
  </si>
  <si>
    <t>Management values the organization over employees.</t>
  </si>
  <si>
    <t>A good place to start a career, but not to stay long-term.</t>
  </si>
  <si>
    <t>Good intentions, but poor execution.</t>
  </si>
  <si>
    <t>The workplace resembles a never-ending episode of The Office.</t>
  </si>
  <si>
    <t>Company culture ruined by the new CEO.</t>
  </si>
  <si>
    <t>Employees are not expected to stay long.</t>
  </si>
  <si>
    <t>Loved the job and was sad to leave.</t>
  </si>
  <si>
    <t>Great place to learn.</t>
  </si>
  <si>
    <t>Great Rehab Manager.</t>
  </si>
  <si>
    <t>Not a great place to start a career.</t>
  </si>
  <si>
    <t>Solid company.</t>
  </si>
  <si>
    <t>Good reputation, but poor management and low pay.</t>
  </si>
  <si>
    <t>Worst onboarding experience.</t>
  </si>
  <si>
    <t>Okay before COVID-19, much worse afterward.</t>
  </si>
  <si>
    <t>The worst experience.</t>
  </si>
  <si>
    <t>A sinking ship.</t>
  </si>
  <si>
    <t>Good starter job, but the company's growing pains present issues.</t>
  </si>
  <si>
    <t>Backward, dinosaur-like company.</t>
  </si>
  <si>
    <t>Distribution Manager.</t>
  </si>
  <si>
    <t>Money is the main focus.</t>
  </si>
  <si>
    <t>Company's profile and ethics.</t>
  </si>
  <si>
    <t>Best company to work for.</t>
  </si>
  <si>
    <t>Strong leadership is needed.</t>
  </si>
  <si>
    <t>Great schools.</t>
  </si>
  <si>
    <t>Compliance.</t>
  </si>
  <si>
    <t>The devil you know is better than the devil you don't know.</t>
  </si>
  <si>
    <t>Nice people.</t>
  </si>
  <si>
    <t>Only numbers matter.</t>
  </si>
  <si>
    <t>Incompetent management.</t>
  </si>
  <si>
    <t>Scam.</t>
  </si>
  <si>
    <t>Accenture is a big brand with an awesome working environment.</t>
  </si>
  <si>
    <t>Poor conditions.</t>
  </si>
  <si>
    <t>Good for students.</t>
  </si>
  <si>
    <t>Great place to kickstart a career, but leave before it becomes detrimental.</t>
  </si>
  <si>
    <t>UBS Work.</t>
  </si>
  <si>
    <t>Lifetime of joy.</t>
  </si>
  <si>
    <t>Good for what it is.</t>
  </si>
  <si>
    <t>Employees are expendable.</t>
  </si>
  <si>
    <t>Disorganized, with no impact.</t>
  </si>
  <si>
    <t>Avoid if possible.</t>
  </si>
  <si>
    <t>Workplace drama, management indifferent to strategic solutions, and a difficult environment for junior employees.</t>
  </si>
  <si>
    <t>Toxic Environment.</t>
  </si>
  <si>
    <t>Great Place to Work.</t>
  </si>
  <si>
    <t>Good training, poor leadership, and forced company culture.</t>
  </si>
  <si>
    <t>Good for corporate experience.</t>
  </si>
  <si>
    <t>Supply chain co-op.</t>
  </si>
  <si>
    <t>Work at HSBC only if necessary.</t>
  </si>
  <si>
    <t>Working for ENI.</t>
  </si>
  <si>
    <t>Completely horrible.</t>
  </si>
  <si>
    <t>Limited opportunity with old-style management.</t>
  </si>
  <si>
    <t>Horrible environment; management does not care about employees.</t>
  </si>
  <si>
    <t>Former Employee.</t>
  </si>
  <si>
    <t>Best option for retail.</t>
  </si>
  <si>
    <t>Easy to get hired, hard to perform.</t>
  </si>
  <si>
    <t>Great place to work, but with issues.</t>
  </si>
  <si>
    <t>The job is not suitable.</t>
  </si>
  <si>
    <t>Good start for an entry-level job.</t>
  </si>
  <si>
    <t>Good pay, poor culture.</t>
  </si>
  <si>
    <t>Not bad, but not a tech company.</t>
  </si>
  <si>
    <t>Home Loan Processor.</t>
  </si>
  <si>
    <t>Wonderful work-life balance!</t>
  </si>
  <si>
    <t>Constant disappointment.</t>
  </si>
  <si>
    <t>School undervalues teachers.</t>
  </si>
  <si>
    <t>Static organization with little forward momentum.</t>
  </si>
  <si>
    <t>Don't get your hopes up.</t>
  </si>
  <si>
    <t>Avoid if you are in marketing.</t>
  </si>
  <si>
    <t>Best company to work with.</t>
  </si>
  <si>
    <t>Loss.</t>
  </si>
  <si>
    <t>Pharmacy Technician.</t>
  </si>
  <si>
    <t>Salary at Scotiabank.</t>
  </si>
  <si>
    <t>Good first job.</t>
  </si>
  <si>
    <t>Fake nice</t>
  </si>
  <si>
    <t>Great, now only good</t>
  </si>
  <si>
    <t>If you're not a provider, you're not worth anything to them</t>
  </si>
  <si>
    <t>Beware</t>
  </si>
  <si>
    <t>Teamwork</t>
  </si>
  <si>
    <t>Good job</t>
  </si>
  <si>
    <t>Good in some aspects</t>
  </si>
  <si>
    <t>Pathetic Company - Fraud Company</t>
  </si>
  <si>
    <t>Horrible job with non-stop entitled customers.</t>
  </si>
  <si>
    <t>Broken Healthcare System at its lowest</t>
  </si>
  <si>
    <t>So much potential, so little realization</t>
  </si>
  <si>
    <t>Upper management doesn't hire enough people, leading to unsafe conditions for people and dogs.</t>
  </si>
  <si>
    <t>Downhill, slowly but surely.</t>
  </si>
  <si>
    <t>Toxic, Toxic, Toxic</t>
  </si>
  <si>
    <t>Overworked and underpaid</t>
  </si>
  <si>
    <t>Political and fake</t>
  </si>
  <si>
    <t>Awful work environment and terrible consideration for employees</t>
  </si>
  <si>
    <t>Mediocre place</t>
  </si>
  <si>
    <t>Discriminatory performance evaluation practices against foreign employees</t>
  </si>
  <si>
    <t>A great experience</t>
  </si>
  <si>
    <t>Great people, horrible managers</t>
  </si>
  <si>
    <t>Nice place but needs to be bigger</t>
  </si>
  <si>
    <t>It's just like most Corporate America companies</t>
  </si>
  <si>
    <t>Uber competitive, consulting firm atmosphere.</t>
  </si>
  <si>
    <t>They pay on time.</t>
  </si>
  <si>
    <t>Training for management</t>
  </si>
  <si>
    <t>Stay away unless desperate</t>
  </si>
  <si>
    <t>High workload</t>
  </si>
  <si>
    <t>Not great</t>
  </si>
  <si>
    <t>Poor treatment on the job</t>
  </si>
  <si>
    <t>Good when an employee, bad when leaving</t>
  </si>
  <si>
    <t>Culture was the only positive aspect</t>
  </si>
  <si>
    <t>No leadership</t>
  </si>
  <si>
    <t>Great job, great staff, poor senior management choices</t>
  </si>
  <si>
    <t>Refuses to evolve, insane expectations</t>
  </si>
  <si>
    <t>Nice facility</t>
  </si>
  <si>
    <t>Unlicensed lab technicians</t>
  </si>
  <si>
    <t>Nice place to work, but with long hours</t>
  </si>
  <si>
    <t>A non-profit with a lot of heart</t>
  </si>
  <si>
    <t>Outdated management and shady business practices</t>
  </si>
  <si>
    <t>Could use new management.</t>
  </si>
  <si>
    <t>Recruiter.</t>
  </si>
  <si>
    <t>Company is great but needs some big changes.</t>
  </si>
  <si>
    <t>Avoid this company.</t>
  </si>
  <si>
    <t>Lives up to its 'sweat shop' reputation.</t>
  </si>
  <si>
    <t>Pay is good, but management is not.</t>
  </si>
  <si>
    <t>Pick wisely.</t>
  </si>
  <si>
    <t>Not a family atmosphere.</t>
  </si>
  <si>
    <t>A place to work only if absolutely necessary; otherwise, avoid it.</t>
  </si>
  <si>
    <t>Promised opportunity, but missed delivery.</t>
  </si>
  <si>
    <t>Worst place to work; better to work at KFC.</t>
  </si>
  <si>
    <t>Horrible place, like hell.</t>
  </si>
  <si>
    <t>No growth opportunities.</t>
  </si>
  <si>
    <t>Fantastic work, mission-driven team, fast-paced environment.</t>
  </si>
  <si>
    <t>If I could give 0/5 stars, I would.</t>
  </si>
  <si>
    <t>A true multinational company in shape and size.</t>
  </si>
  <si>
    <t>Most respectful company.</t>
  </si>
  <si>
    <t>Unstable workplace.</t>
  </si>
  <si>
    <t>Nice people, but work-life balance was negligible.</t>
  </si>
  <si>
    <t>Overall good employer.</t>
  </si>
  <si>
    <t>Looked like a dream company, but ended up a nightmare.</t>
  </si>
  <si>
    <t>Company trending downwards in many areas.</t>
  </si>
  <si>
    <t>Not a great sales experience.</t>
  </si>
  <si>
    <t>Good team, great spirit.</t>
  </si>
  <si>
    <t>Encourages creative thinking.</t>
  </si>
  <si>
    <t>Great work culture.</t>
  </si>
  <si>
    <t>Great place to work with strong ethics, committed to developing people and leading the future of the payments industry.</t>
  </si>
  <si>
    <t>Literally terrible.</t>
  </si>
  <si>
    <t>Managers need to be trained.</t>
  </si>
  <si>
    <t>Terrible place to work.</t>
  </si>
  <si>
    <t>Great team, poor management.</t>
  </si>
  <si>
    <t>Good foundation, bad management.</t>
  </si>
  <si>
    <t>Senior Analyst.</t>
  </si>
  <si>
    <t>Quantity over quality.</t>
  </si>
  <si>
    <t>Loved it.</t>
  </si>
  <si>
    <t>Bad culture.</t>
  </si>
  <si>
    <t>Worst contracting experience ever.</t>
  </si>
  <si>
    <t>Not a good company to work for. Fake positive comments exist because management asks people to write them.</t>
  </si>
  <si>
    <t>Horrible experience stemming from upper management and owners.</t>
  </si>
  <si>
    <t>Handles entire McDelivery Teams of Jeddah, KSA.</t>
  </si>
  <si>
    <t>Good Benefits</t>
  </si>
  <si>
    <t>Bad burnout company culture.</t>
  </si>
  <si>
    <t>There is great team management that will push you to work harder.</t>
  </si>
  <si>
    <t>Minuscule Raises</t>
  </si>
  <si>
    <t>Good company, sustained pace.</t>
  </si>
  <si>
    <t>Very good.</t>
  </si>
  <si>
    <t>Smart People, Interesting Industry.</t>
  </si>
  <si>
    <t>Low pay but not work overload.</t>
  </si>
  <si>
    <t>Not worth your time.</t>
  </si>
  <si>
    <t>Expected in the office every day.</t>
  </si>
  <si>
    <t>This job caused PTSD.</t>
  </si>
  <si>
    <t>Interesting but management needs review.</t>
  </si>
  <si>
    <t>Be aware of internal politics.</t>
  </si>
  <si>
    <t>Positive.</t>
  </si>
  <si>
    <t>Terrible culture at UK Asset Management.</t>
  </si>
  <si>
    <t>Indian offices are highly unprofessional.</t>
  </si>
  <si>
    <t>Great start, overall toxic.</t>
  </si>
  <si>
    <t>New hires be wary.</t>
  </si>
  <si>
    <t>Had a fantastic 2 years working at HCL; it feels like a big family.</t>
  </si>
  <si>
    <t>Nice building, not so nice employees.</t>
  </si>
  <si>
    <t>Fundamentally broken due to poor management.</t>
  </si>
  <si>
    <t>Stellar engineering culture.</t>
  </si>
  <si>
    <t>Very good, very lean.</t>
  </si>
  <si>
    <t>Underpaid, overworked, with no route for progression.</t>
  </si>
  <si>
    <t>Zero stars should be an option for this place.</t>
  </si>
  <si>
    <t>Great place to work overall.</t>
  </si>
  <si>
    <t>Wonderful People, Amazing Management.</t>
  </si>
  <si>
    <t>Competitive environment but not much growth.</t>
  </si>
  <si>
    <t>Do not join unless extremely desperate.</t>
  </si>
  <si>
    <t>Slow, old-school pharma.</t>
  </si>
  <si>
    <t>Great environment, lots of paid breaks.</t>
  </si>
  <si>
    <t>Pathetic, poor pay for IIT/NIT graduates.</t>
  </si>
  <si>
    <t>Unorganized.</t>
  </si>
  <si>
    <t>Good place to work but serious bureaucracy.</t>
  </si>
  <si>
    <t>A real look at IMTOB.</t>
  </si>
  <si>
    <t>Cool place, cool people, growing fast, lots you can learn.</t>
  </si>
  <si>
    <t>Fast pace and a lot of work for minimal pay.</t>
  </si>
  <si>
    <t>Fast pace.</t>
  </si>
  <si>
    <t>Nice company.</t>
  </si>
  <si>
    <t>Treasury trader at a Macau Chinese SOE bank.</t>
  </si>
  <si>
    <t>Simply amazing.</t>
  </si>
  <si>
    <t>Citi.</t>
  </si>
  <si>
    <t>Good.</t>
  </si>
  <si>
    <t>Call center.</t>
  </si>
  <si>
    <t>Terrible union backing.</t>
  </si>
  <si>
    <t>Absolutely no work/life balance.</t>
  </si>
  <si>
    <t>Sales executive.</t>
  </si>
  <si>
    <t>Not for the weak.</t>
  </si>
  <si>
    <t>Great experience at ACN.</t>
  </si>
  <si>
    <t>Good for freshers in terms of work, but not for growth.</t>
  </si>
  <si>
    <t>Culture (leadership) needs to change.</t>
  </si>
  <si>
    <t>Good if you drink the Kool-Aid.</t>
  </si>
  <si>
    <t>Industrial Placement Student.</t>
  </si>
  <si>
    <t>Complete and utter frenzy of ineptitude.</t>
  </si>
  <si>
    <t>Senior software engineer.</t>
  </si>
  <si>
    <t>Not the best place to work.</t>
  </si>
  <si>
    <t>It is okay.</t>
  </si>
  <si>
    <t>Not as advertised.</t>
  </si>
  <si>
    <t>Excellent company.</t>
  </si>
  <si>
    <t>Not good personnel.</t>
  </si>
  <si>
    <t>Great place.</t>
  </si>
  <si>
    <t>Average employer.</t>
  </si>
  <si>
    <t>Good pay, but long hours and no work/life balance is the trade-off.</t>
  </si>
  <si>
    <t>A lot goes a little way.</t>
  </si>
  <si>
    <t>Pathetic work culture in India.</t>
  </si>
  <si>
    <t>Worst organization I worked for, just like a local 'lala' company (small, unprofessionally run business).</t>
  </si>
  <si>
    <t>Great place to work at.</t>
  </si>
  <si>
    <t>Verzeo as a company.</t>
  </si>
  <si>
    <t>Warehouse.</t>
  </si>
  <si>
    <t>Game of Thrones politics, with a 'baby culture' catching up fast.</t>
  </si>
  <si>
    <t>SAP Change Manager.</t>
  </si>
  <si>
    <t>Avoid like the plague.</t>
  </si>
  <si>
    <t>Very good pay and benefits.</t>
  </si>
  <si>
    <t>Work-life balance and job security are very poor.</t>
  </si>
  <si>
    <t>Mediocre experience.</t>
  </si>
  <si>
    <t>Singled out in Bakersfield.</t>
  </si>
  <si>
    <t>Pretty good job.</t>
  </si>
  <si>
    <t>Warning: The next round of layoffs are coming.</t>
  </si>
  <si>
    <t>Great culture.</t>
  </si>
  <si>
    <t>Garbage place, CEO is absolutely nuts.</t>
  </si>
  <si>
    <t>Beware of fake reviews.</t>
  </si>
  <si>
    <t>Staff were dropped without warning when COVID-19 hit.</t>
  </si>
  <si>
    <t>Opportunities to advance and learn new skills. It was fun initially, but leadership was lacking.</t>
  </si>
  <si>
    <t>Small fish in a big pond.</t>
  </si>
  <si>
    <t>Underpaid.</t>
  </si>
  <si>
    <t>Rollercoaster organization.</t>
  </si>
  <si>
    <t>If you like being told how horrible you are at what you do, this is the place for you.</t>
  </si>
  <si>
    <t>Has its good and its bad.</t>
  </si>
  <si>
    <t>Unethical, impractical, and hypocritical.</t>
  </si>
  <si>
    <t>Good company overall, but the tech team is disappointing.</t>
  </si>
  <si>
    <t>Terrible company; do not work here.</t>
  </si>
  <si>
    <t>Seems like a dream job, then you start working there.</t>
  </si>
  <si>
    <t>Avoid this place.</t>
  </si>
  <si>
    <t>A stimulating, technically challenging, and passion-driven community.</t>
  </si>
  <si>
    <t>No longer safe.</t>
  </si>
  <si>
    <t>Don't plan on making this a long-term career.</t>
  </si>
  <si>
    <t>Great potential, awful management, average benefits.</t>
  </si>
  <si>
    <t>Good environment to start an auditing career.</t>
  </si>
  <si>
    <t>Wanted it to work out, but it wasn't possible (TAMG employee experience).</t>
  </si>
  <si>
    <t>Don't work here.</t>
  </si>
  <si>
    <t>It's a job.</t>
  </si>
  <si>
    <t>Great place to start out of college, but the company does little to retain good employees.</t>
  </si>
  <si>
    <t>Amazing small company filled with great people.</t>
  </si>
  <si>
    <t>Terrible.</t>
  </si>
  <si>
    <t>It's not for everyone.</t>
  </si>
  <si>
    <t>Flexible, but management is hypocritical.</t>
  </si>
  <si>
    <t>Great school to learn how to deal with work environment toxicity.</t>
  </si>
  <si>
    <t>Great culture, great colleagues, great product.</t>
  </si>
  <si>
    <t>Clueless upper management.</t>
  </si>
  <si>
    <t>Dysfunctional family, lack of direction, high churn.</t>
  </si>
  <si>
    <t>Burn your resume before applying here.</t>
  </si>
  <si>
    <t>Public Institution.</t>
  </si>
  <si>
    <t>Stay away! The worst marketing agency to work for.</t>
  </si>
  <si>
    <t>360i was great, DAN not so much.</t>
  </si>
  <si>
    <t>Good place to lose your qualification and get fat.</t>
  </si>
  <si>
    <t>Fun place to work.</t>
  </si>
  <si>
    <t>Fun for a while.</t>
  </si>
  <si>
    <t>Great place to work, just not in Texas!</t>
  </si>
  <si>
    <t>Ever-changing KPI system.</t>
  </si>
  <si>
    <t>Good for young people.</t>
  </si>
  <si>
    <t>Do your research!</t>
  </si>
  <si>
    <t>Use it as an entrance into the tech industry.</t>
  </si>
  <si>
    <t>Low pay, no perks like other call centers, hard to get terminated.</t>
  </si>
  <si>
    <t>A lot of work for little pay.</t>
  </si>
  <si>
    <t>Some managers don't think they should wear PPE on site.</t>
  </si>
  <si>
    <t>Overworked employees, bad attitudes, lacking forward thinking, and outdated technology.</t>
  </si>
  <si>
    <t>Heavy Machine Operator.</t>
  </si>
  <si>
    <t>Great experience if you're willing to work hard.</t>
  </si>
  <si>
    <t>Executive Management Doesn't Know the Business.</t>
  </si>
  <si>
    <t>Good Pay but No Support.</t>
  </si>
  <si>
    <t>Good Opportunity - Solid Employer.</t>
  </si>
  <si>
    <t>A smoke and mirrors con-show.</t>
  </si>
  <si>
    <t>Great company in the public accounting industry.</t>
  </si>
  <si>
    <t>Awful Management.</t>
  </si>
  <si>
    <t>Diverse.</t>
  </si>
  <si>
    <t>Unorganized and Poor Management.</t>
  </si>
  <si>
    <t>High turnover.</t>
  </si>
  <si>
    <t>Absolutely 100% avoid Remington College.</t>
  </si>
  <si>
    <t>Poor management (Chennai).</t>
  </si>
  <si>
    <t>Abandon hope, ye who enter here.</t>
  </si>
  <si>
    <t>A shambles.</t>
  </si>
  <si>
    <t>A good company to grow and learn.</t>
  </si>
  <si>
    <t>Zennkai / Eccotique.</t>
  </si>
  <si>
    <t>Great group of people to work with.</t>
  </si>
  <si>
    <t>The absolute most toxic work environment I've ever experienced.</t>
  </si>
  <si>
    <t>Not good.</t>
  </si>
  <si>
    <t>Worst Career Advancement Ever.</t>
  </si>
  <si>
    <t>Worst place to work ever.</t>
  </si>
  <si>
    <t>Would absolutely come back.</t>
  </si>
  <si>
    <t>This company will ruin your life, health, and peace, not just your career.</t>
  </si>
  <si>
    <t>Terrible Organization with Weak Leadership.</t>
  </si>
  <si>
    <t>Laid off in 30 days.</t>
  </si>
  <si>
    <t>Useless CEO firing people within a few months after joining.</t>
  </si>
  <si>
    <t>Never gives salary on time.</t>
  </si>
  <si>
    <t>Culture is not nice.</t>
  </si>
  <si>
    <t>Good employer.</t>
  </si>
  <si>
    <t>Steer clear.</t>
  </si>
  <si>
    <t>Absolute Chaos.</t>
  </si>
  <si>
    <t>Toxic and dysfunctional administration destroying school with great potential.</t>
  </si>
  <si>
    <t>Horrible one-year experience. Toxic work environment allowing workplace harassment from team members.</t>
  </si>
  <si>
    <t>Good starting point, but look for something better afterward.</t>
  </si>
  <si>
    <t>Horrible senior management, no vision.</t>
  </si>
  <si>
    <t>Good benefits, but that's about it.</t>
  </si>
  <si>
    <t>Worst company ever joined.</t>
  </si>
  <si>
    <t>Considerable improvement required.</t>
  </si>
  <si>
    <t>Best Staffing Firm Experience.</t>
  </si>
  <si>
    <t>Best Place to Get Depressed.</t>
  </si>
  <si>
    <t>In transition.</t>
  </si>
  <si>
    <t>Good team.</t>
  </si>
  <si>
    <t>Disrespectful.</t>
  </si>
  <si>
    <t>Accounting Department.</t>
  </si>
  <si>
    <t>Savers review.</t>
  </si>
  <si>
    <t>A nascent service with potential and solid foundations for continued success.</t>
  </si>
  <si>
    <t>Worst company to work.</t>
  </si>
  <si>
    <t>Not the same.</t>
  </si>
  <si>
    <t>Know your direct team (school) before deciding to work here.</t>
  </si>
  <si>
    <t>Complete disaster of a company.</t>
  </si>
  <si>
    <t>My experience in Alliance International.</t>
  </si>
  <si>
    <t>New direction needed.</t>
  </si>
  <si>
    <t>It was an awesome experience.</t>
  </si>
  <si>
    <t>Staff are treated as disposable.</t>
  </si>
  <si>
    <t>Not a good MNC by the end of 2022.</t>
  </si>
  <si>
    <t>Most Toxic Culture Ever.</t>
  </si>
  <si>
    <t>Once we were bought out, many were slowly weeded out.</t>
  </si>
  <si>
    <t>Great people to work with, but horrible management.</t>
  </si>
  <si>
    <t>Think twice about working here.</t>
  </si>
  <si>
    <t>Toxic management and unsupportive.</t>
  </si>
  <si>
    <t>Generous.</t>
  </si>
  <si>
    <t>Humble yourselves. Remember when you were coming up in your career. Respect your associates and appreciate all that they do to try and keep up with your ever changing orders. Stop treating people like numbers.</t>
  </si>
  <si>
    <t>Bring this great Company at par with similar great companies in India, e.g., Infosys, TATA, etc., in terms of work culture and environment.</t>
  </si>
  <si>
    <t>You have some amazing staff members who are totally disengaged. Your TNPS system is flawed. Your computer system Seibel, regardless of what you say, is not fit for purpose. People's jobs should not be on the line based on a survey score.</t>
  </si>
  <si>
    <t>Get it together.</t>
  </si>
  <si>
    <t>Provide better new hire training; hiring professionals doesn't automatically mean they know Microsoft. Train them on day-to-day tools and internal processes. Enforce more consistent expectations across all first-line managers and sales teams, as consistency is currently lacking. Improve and streamline internal tools, centralizing them as much as possible. Provide AEs with better access to support for job concerns and task completion. Prevent first-line managers from hiring teams composed exclusively of reps from a single company; ensure diversity in backgrounds. Maintain more continuity in business policies and expectations, insulating reps from misinformation and constantly shifting business priorities.</t>
  </si>
  <si>
    <t>To attract Millennials, overhaul outdated HR tactics. Millennials seek bold, fresh approaches for career growth. There's an intolerance for the 40 and 50+ age crowd, who are hardworking and bring valuable experience. Old processes and mindsets persist. Enable truly diverse teams by age, gender, and race. Remove HR process burdens from employees exploring new growth areas. If headcount reduction is necessary, use ethical formal RIFs instead of playing games with individuals.</t>
  </si>
  <si>
    <t>Communicate with contractors. The manager was seen only 10 times before contract termination, none in formal meetings, which was regrettable.</t>
  </si>
  <si>
    <t>Simplify the admin system.</t>
  </si>
  <si>
    <t>Listen to employee opinions. Work on proper communication structure. Identify who's working hard and who's stealing credit.</t>
  </si>
  <si>
    <t>There should be a direct support/advice service to HR, as C-Suite leaders are unaware of the poor culture due to SLT manipulating feedback. Take escalations of professional misconduct seriously and conduct fair investigations. Consider people/leadership training for some managers.</t>
  </si>
  <si>
    <t>Scrap the rating system. Implement a live support system instead of responding to emails 3 or 4 days later.</t>
  </si>
  <si>
    <t>Invest in new systems and stop equating 'hard-working people' with those who work 24/7. The company is losing many employees daily, and management questions why people are leaving. Overworking people without paying overtime indicates a mental issue with management.</t>
  </si>
  <si>
    <t>More downtime between calls would help morale.</t>
  </si>
  <si>
    <t>Trust your people.</t>
  </si>
  <si>
    <t>Parse evaluations for managers who report to a larger group in Vital Signs. When management's evaluations are cumulative for a group, incompetent managers can thrive and mismanage employees without accountability.</t>
  </si>
  <si>
    <t>Get off your high horse. You were all sales reps once.</t>
  </si>
  <si>
    <t>Perhaps too many managers are out of touch or big-headed. Overall, if you do your work, you are mostly left alone.</t>
  </si>
  <si>
    <t>Fire people who sexually harass employees.</t>
  </si>
  <si>
    <t>Get rid of many mid-tier managers (E &amp; F grades) who are stuck in the past. Address the culture gap between ex C&amp;W teams and mobile; act as one company. Review the reward package to attract talent that can make a difference.</t>
  </si>
  <si>
    <t>Non-stop harassment by the manager. Despite complaining with proof, no action was taken by upper management or the investigating officer. Many team members left because of this manager.</t>
  </si>
  <si>
    <t>Higher compensation for those doing the work. Make transitioning to different roles easier.</t>
  </si>
  <si>
    <t>Do better.</t>
  </si>
  <si>
    <t>Completely revamp the entire business management approach.</t>
  </si>
  <si>
    <t>Empower employees.</t>
  </si>
  <si>
    <t>Change uniforms. Change back commission.</t>
  </si>
  <si>
    <t>Help local managers more, with training.</t>
  </si>
  <si>
    <t>Changing policies and rules every other month is really confusing. Not allowing branch managers to hire new staff is very inconvenient to both employees and customers. Most of the training is irrelevant to the job position. Too many responsibilities for the amount of pay that is offered. Other banks seem to be much more organized in this aspect.</t>
  </si>
  <si>
    <t>Hire better managers.</t>
  </si>
  <si>
    <t>Increase compensation.</t>
  </si>
  <si>
    <t>Control on senior level employees.</t>
  </si>
  <si>
    <t>Local managers, stand up for your employees.</t>
  </si>
  <si>
    <t>Stop being so greedy and pass some of that profit down to the hard workers on your front line. Do what you say. Stop lying.</t>
  </si>
  <si>
    <t>I had the absolute best branch manager ever. If they are all like him, I would say keep doing what you're doing. A great manager can dramatically impact an employee's career and makes the biggest difference in the workplace.</t>
  </si>
  <si>
    <t>Needs improvement.</t>
  </si>
  <si>
    <t>Improve your communication or you will continue to be a revolving door. Be more aware of employee burnout and let employees have some time off of work and stop caring only for yourselves.</t>
  </si>
  <si>
    <t>HR needs progressive leadership.</t>
  </si>
  <si>
    <t>HR is a puppet of Management; think for employees too.</t>
  </si>
  <si>
    <t>Give better pay.</t>
  </si>
  <si>
    <t>This company has more VPs and CEOs than necessary. All the money they are paying their higher-ups to sit around making videos to send to staff that nobody has time to watch since we are monitored every single second on our PCs. There is no recognition given out, only criticism, and I‚Äôve been here for years. I do love my teammates though and the lower-level Supervisors.</t>
  </si>
  <si>
    <t>No point - if management can approve of such leadership.</t>
  </si>
  <si>
    <t>Better management.</t>
  </si>
  <si>
    <t>Work with more empathy towards your staff to empower them.</t>
  </si>
  <si>
    <t>Change the culture. A lot more can be achieved with the right mindset and values.</t>
  </si>
  <si>
    <t>Stop communicating via third parties (it is not effective); if you need to talk to someone, talk to them. Treat your people like people. You don't own people; it is illegal. People have choices. Stop expecting part-time retail employees to care so much. Sort your attitude out; if you have a rubbish attitude, so will your staff. Respect is a luxury, not a right. The time for managers sitting in their offices and barking orders is over; people need and want good leaders. Advice to regional management and up: If your stores have high turnover, it's because of the manager. People leave when they don't feel respected and appreciated.</t>
  </si>
  <si>
    <t>Need to do something to foster a sense of ownership and community for employees.</t>
  </si>
  <si>
    <t>Study leadership. Ita√∫ promotes many good analysts to managers without preparing them for management roles. They are more concerned with their individual careers than with developing people.</t>
  </si>
  <si>
    <t>Be more careful in evaluating promotions and opportunities for dedicated employees.</t>
  </si>
  <si>
    <t>Treat your CSRs better; almost more than half my training class quit.</t>
  </si>
  <si>
    <t>Salary correction.</t>
  </si>
  <si>
    <t>Ensure workers have enough time off.</t>
  </si>
  <si>
    <t>Try changing the culture.</t>
  </si>
  <si>
    <t>None. People who would listen are no longer there. Many good people in upper management have recently left, and good employees are not looking to stay.</t>
  </si>
  <si>
    <t>Recruit more young graduates and give more importance to apprentices, interns, and doctoral students, as they represent the future of engineering and production in tomorrow's industry.</t>
  </si>
  <si>
    <t>Treat people as individuals, not machines.</t>
  </si>
  <si>
    <t>The CEO is poor; base pay and annual incentive pay are very low.</t>
  </si>
  <si>
    <t>Ensure people leaders have a vested interest in their team's professional growth and tie their goals to it.</t>
  </si>
  <si>
    <t>Implement more clearly defined lines of communication between businesses and departments to reduce redundancies. Teams should work together and encourage mutual growth, as competition often stunts progress at Citi.</t>
  </si>
  <si>
    <t>They need to pay more.</t>
  </si>
  <si>
    <t>Invest in marketing and allow sales people to do their jobs. Understand that U.S. regulations are different from Canada's, so operations will not run the same. Let managers do their jobs and stop trying to run every department from ivory towers, and stop bringing in consultants to change things annually. The numbers clearly showed a capable team. Also, expect to work 50+ hours per week.</t>
  </si>
  <si>
    <t>Pay more money.</t>
  </si>
  <si>
    <t>Management is professional.</t>
  </si>
  <si>
    <t>Try to provide lunch for the night batch.</t>
  </si>
  <si>
    <t>Very nice staff.</t>
  </si>
  <si>
    <t>More meetings and actually take suggestions.</t>
  </si>
  <si>
    <t>Leave.</t>
  </si>
  <si>
    <t>Understand the aspirations of consultants and allow them to decide their career paths.</t>
  </si>
  <si>
    <t>If you are a product-based company, behave like one.</t>
  </si>
  <si>
    <t>Implement better structures for reward, recognition, and talent development to avoid favoritism or unfair compensation schemes based solely on HR input. The company is losing a lot of good talent.</t>
  </si>
  <si>
    <t>Management is likely frustrated about losing good people to external opportunities. However, paying people to match the competition, even with an out-of-step pay increase requiring higher approval, is worthwhile considering the cost of hiring someone new. More external learning opportunities (e.g., conferences) for mid-level operations staff would improve performance and reduce feelings of isolation within 'the machine'.</t>
  </si>
  <si>
    <t>Management should definitely try to improve the company's work culture; otherwise, the high attrition rate problem cannot be solved.</t>
  </si>
  <si>
    <t>None, everything is very good.</t>
  </si>
  <si>
    <t>Use consultants and temporary workforces instead of H1 visas from Asia.</t>
  </si>
  <si>
    <t>Treat employees better.</t>
  </si>
  <si>
    <t>Scrap 'LEI'. LEI should be used for FAs, FPs, PBAs. LCEA/CEA roles are not long enough experiences to impress a client. Customers with prior bad experiences elsewhere sometimes give negative survey feedback for unrelated transactions at my branch, unfairly impacting my performance.</t>
  </si>
  <si>
    <t>Call centers are absurd but necessary. Be more cognizant of employees' mental health and daily responsibilities. Pay is egregiously low; denying monthly bonuses for minor infractions like returning late from a restroom break is unfair. Employees do not enjoy hokey incentives. Recording employees dealing with upset customers while playing 'Happy' is terrible. Coupons for soup after generating millions are insulting. Pay employees better, allow them to participate in appreciation days, be more flexible with PTO, and admit flaws in customer policies.</t>
  </si>
  <si>
    <t>Review the evaluation system. Start asset teams. Rotate conference attendance among employees.</t>
  </si>
  <si>
    <t>Promotions should be based on qualifications, not other factors.</t>
  </si>
  <si>
    <t>Hire trained professionals instead of promoting agents.</t>
  </si>
  <si>
    <t>Improve payroll.</t>
  </si>
  <si>
    <t>They should work on the salary aspect.</t>
  </si>
  <si>
    <t>Promote professionalism, humanity, and empathy, not narcissism and psychopathy.</t>
  </si>
  <si>
    <t>Leadership should quit and tank the company, as they are disconnected from their core valuable asset and do not care.</t>
  </si>
  <si>
    <t>Treat all employees with respect, not just when global leaders are on site. Stop micromanaging and provide space for learning and growth. Lead the team rather than dictating.</t>
  </si>
  <si>
    <t>Manage the workload.</t>
  </si>
  <si>
    <t>Provide complete and scheduled knowledge transfer to new joiners, allowing time for hands-on experience. Appreciate work done. Create a positive, happy work environment and culture. Respect employees as humans.</t>
  </si>
  <si>
    <t>Keep an eye on growth paths for all, ensuring they are updated and clearly defined.</t>
  </si>
  <si>
    <t>Minimize office politics and allow employees to grow based on merit.</t>
  </si>
  <si>
    <t>Focus on replacing impolite people with polite ones.</t>
  </si>
  <si>
    <t>Being more flexible would be better.</t>
  </si>
  <si>
    <t>Be more proactive and less reactive.</t>
  </si>
  <si>
    <t>Go back to business basics and reduce internal politics. Pay more salary and less commission to reduce stress and sales manipulation practices.</t>
  </si>
  <si>
    <t>Keep up the good work.</t>
  </si>
  <si>
    <t>Keep up the great work.</t>
  </si>
  <si>
    <t>Management should genuinely care about each other and their employees, as it is a tough job made harder by managers who lack empathy.</t>
  </si>
  <si>
    <t>Need to reward innovation and candor, especially when not aligned with desired outcomes.</t>
  </si>
  <si>
    <t>Give more to employees.</t>
  </si>
  <si>
    <t>Get organized. Stop reorganizing upper management and instead address middle management. Improve the IT department. Stop hiring remote employees if the company cannot support them.</t>
  </si>
  <si>
    <t>When bringing in new employees, provide guidance instead of just dumping them on the job. Honda basically exists because of a group of die-hard Honda fans.</t>
  </si>
  <si>
    <t>Allow employees to do their work without constant micromanagement and unrealistic expectations that cause salaried workers to work without pay. It is a horrible company.</t>
  </si>
  <si>
    <t>Needs a more efficient way of implementing positive change.</t>
  </si>
  <si>
    <t>Engage more with frontline employees.</t>
  </si>
  <si>
    <t>Address incompetent management.</t>
  </si>
  <si>
    <t>Wish the company hadn't closed down.</t>
  </si>
  <si>
    <t>Improve contact between internal teams.</t>
  </si>
  <si>
    <t>Differentiate jobs by actual responsibilities, not just generic titles. If job titles are used for pay bands, ensure they reflect actual work, rather than assuming all employees with the same title perform similar jobs.</t>
  </si>
  <si>
    <t>Reinforce policies and restart enterprise compliance hiring teams. Management is horrible.</t>
  </si>
  <si>
    <t>The whistleblower policy is nominal. HR should intervene and decide on exception cases instead of following managers' decisions. There is no focus on employee growth or exposure; only upper management has been promoted in the last three years.</t>
  </si>
  <si>
    <t>Be careful with the agency.</t>
  </si>
  <si>
    <t>Do not allow people to stay in the same roles for over 20 years, as it prohibits change.</t>
  </si>
  <si>
    <t>Listen to advisors, reduce numerous small daily tasks, and allow senior staff to focus on high-level work. Many good people left for this reason.</t>
  </si>
  <si>
    <t>A great company is built by its people, not solely by adopting new technologies.</t>
  </si>
  <si>
    <t>Be respectful and patient.</t>
  </si>
  <si>
    <t>Address the issues mentioned in the cons.</t>
  </si>
  <si>
    <t>Recruit more local candidates for local positions.</t>
  </si>
  <si>
    <t>Understand employees' positions, lifetime achievements, and contributions. Be knowledgeable and empathetic towards staff. Allow employees to work on personal projects in their spare time.</t>
  </si>
  <si>
    <t>Stay current and in touch with what makes employees happy, as happy employees are effective employees.</t>
  </si>
  <si>
    <t>Upper-level managers are intelligent with well-defined goals. However, lower-level managers struggle to implement these goals, often ignoring issues until forced to address them or leave.</t>
  </si>
  <si>
    <t>Embody the culture change that is promoted.</t>
  </si>
  <si>
    <t>Respect employees' personal and political lives.</t>
  </si>
  <si>
    <t>Good employees are overworked, underappreciated, and underpaid. The experience at this specific store was horrible.</t>
  </si>
  <si>
    <t>Customer service should involve agents, supervisors, and managers working together to resolve customer issues and retain service, showing care for employees assisting customers. The company exhibits unprofessionalism, a lack of management, and a poor example of customer service. Supervisors are often unavailable to assist customers who request to speak with someone higher up, even with a large number of employees. This job is not recommended, even for high school graduates, as other entry-level positions offer better support and potentially higher pay with less stress. The company is a disgrace to customer service, offering only $14.50/hr for a stressful job with angry customers and minimal support.</t>
  </si>
  <si>
    <t>Improve allowances.</t>
  </si>
  <si>
    <t>Be more tolerant.</t>
  </si>
  <si>
    <t>WDI should be driving new direction, not merely responding to Resort requests. Motivating factors need to be innovative experiences, not merchandising tie-ins.</t>
  </si>
  <si>
    <t>Employ people who know how to run a business.</t>
  </si>
  <si>
    <t>Believe in your people.</t>
  </si>
  <si>
    <t>Improve management skills; workers are humans, not robots.</t>
  </si>
  <si>
    <t>Fix work-life balance issues for sales people, as they are the heart of the company. Care more about them. Work on fixing the pay structure for smaller, less high-end locations.</t>
  </si>
  <si>
    <t>Be consistent in your instructions. Don't let go of those who built you up!</t>
  </si>
  <si>
    <t>More kindness and empathy in how you treat your employees would allow you to retain them longer and reduce high turnover. Additionally, it would be beneficial if the same 'type of person' were not always entrusted with the lowest hierarchical positions.</t>
  </si>
  <si>
    <t>Have HR review the performance management system.</t>
  </si>
  <si>
    <t>Try to hire some of their contractors. They have many good, loyal, and hard-working individuals coming in and out of their doors whom they should consider more closely.</t>
  </si>
  <si>
    <t>Be mindful that not everyone learns in the same manner. While striving to be the best, it's necessary to be humble sometimes.</t>
  </si>
  <si>
    <t>Embrace proven methods for project management, business management, business analysis, and general day-to-day problem-solving. Coach people in these ways so that skills are transferable, and everyone is ultimately uplifted.</t>
  </si>
  <si>
    <t>Give minorities and women a chance. It seems like only white men are perceived as good at or excelling in IT. Yelling at employees does not improve their performance.</t>
  </si>
  <si>
    <t>Stop micromanaging employees and making them feel their best isn't good enough. Understand that coworkers who lack work-life balance cannot perform at their best. For Florida stores or stores that closed at 2 p.m. on Saturday, hours were extended, but you are paying employees to do nothing because few customers are in stores. If the bank is open 5 days a week from 8 to 6, why stay open on Saturday until 4? Learn from other banks; they barely have customers at this time. Learn from Europe, where people conduct business early in the weekday, and their businesses are not negatively impacted.</t>
  </si>
  <si>
    <t>Pay more.</t>
  </si>
  <si>
    <t>Give employees more formal training on key technologies.</t>
  </si>
  <si>
    <t>Pay attention to those moving up the ladder who require management and collaboration training. Some, having 'grown up Google,' believe their way is the only way, which is highly unfortunate. With the right training, this could be avoided.</t>
  </si>
  <si>
    <t>You must like to live under pressure; it is a quarter-basis results company.</t>
  </si>
  <si>
    <t>Follow the OSHA guidelines. Give people their 30-minute lunches. When equipment is broken, do not continue using it. Listen to your staff and their complaints. Buy something other than pizza to thank your employees.</t>
  </si>
  <si>
    <t>Good luck.</t>
  </si>
  <si>
    <t>Processes should be dealt with case by case when possible.</t>
  </si>
  <si>
    <t>Google has had a lot of growing pains into a large company, and that's completely understandable. It is a big company, and a great big company to work for if the work and culture match your preferences. However, weighing technical interviews heavily on the backs of interns looking to make a difference for their teams and the company is detrimental to morale and contributions. The SWE program is still a great opportunity for interns, but Google itself would have a lot to gain if this dogmatic aspect of the culture and process was fixed.</t>
  </si>
  <si>
    <t>Stop blaming and start taking responsibility.</t>
  </si>
  <si>
    <t>Don't just say "well, pick up the phone and dial more." Actually find a process of what works by trial and error and implement it.</t>
  </si>
  <si>
    <t>Senior management attempts to shift the culture by bringing in outside talent but fails to understand that most cultural problems stem from executive leadership.</t>
  </si>
  <si>
    <t>Management should improve, especially regarding time management for clocking in on time for shifts.</t>
  </si>
  <si>
    <t>The good ones leave early, so the remaining are there for the paycheck.</t>
  </si>
  <si>
    <t>Trust in every cast member's ability to do their job. Don't extinguish their light.</t>
  </si>
  <si>
    <t>Get to know the process of the department you manage and attempt to learn that process and talk to associates.</t>
  </si>
  <si>
    <t>Modernize systems, especially the website, to prevent downtime during sales. Address tenured employees who are less knowledgeable than new hires.</t>
  </si>
  <si>
    <t>Engage with employees more often and put laptops down. Most employees feel treated like numbers, not valuable assets. Stop moving area managers around; allow them to build relationships with employees.</t>
  </si>
  <si>
    <t>Increase wages, especially for new employees, and do not pressure employees to make sales. Employees tend to hide decisive information from potential clients to make quick sales.</t>
  </si>
  <si>
    <t>Utilize existing talent to close gaps in sales and client management. Address the competitive losing streak and develop a winning strategy. Make 'focus on the customer' more than just a slogan.</t>
  </si>
  <si>
    <t>Go to the ground.</t>
  </si>
  <si>
    <t>Focus on loyal customers and employees, not just numbers, to avoid driving business away and high turnover. It was once a pleasant place until the company became greedy. Lead by example and listen to employees who give 110% of their time, as higher-ups are compensated for most of it.</t>
  </si>
  <si>
    <t>Care about your employees.</t>
  </si>
  <si>
    <t>Hire more branch staff. Eliminate cold calling and stop treating employees as workhorses for low pay. Reduce pressure on store managers, as it negatively impacts their employees.</t>
  </si>
  <si>
    <t>Pay more to get better people.</t>
  </si>
  <si>
    <t>Treat employees as humans, not slaves.</t>
  </si>
  <si>
    <t>Try to understand the field service more.</t>
  </si>
  <si>
    <t>People are focused inwards, fighting windmills. Nothing is changing, cooperation is poor, and only reports matter. Self-marketing is extremely vital.</t>
  </si>
  <si>
    <t>Be more transparent.</t>
  </si>
  <si>
    <t>Pay more attention to lower-level staff.</t>
  </si>
  <si>
    <t>Continue transforming. Stop limiting hiring to top-tier schools to improve diversity.</t>
  </si>
  <si>
    <t>Give staff more autonomy to perform.</t>
  </si>
  <si>
    <t>Provide help and stop playing politics.</t>
  </si>
  <si>
    <t>The issues are systemic, suggesting the Board of Directors needs to address executive-level problems. Such experiences damage the company's professional reputation, and ignoring them will not help.</t>
  </si>
  <si>
    <t>Implement cross-training for both management and workers.</t>
  </si>
  <si>
    <t>Stop judging employees.</t>
  </si>
  <si>
    <t>Consider more flexible hours.</t>
  </si>
  <si>
    <t>Management would improve if upper leadership stopped making ridiculous demands.</t>
  </si>
  <si>
    <t>Pay for work, not based on previous salary.</t>
  </si>
  <si>
    <t>Employees are human, not bots; show some respect and dignity.</t>
  </si>
  <si>
    <t>Monitor crew behavior.</t>
  </si>
  <si>
    <t>Increase transparency and accountability from management.</t>
  </si>
  <si>
    <t>Address the inability to sell, stop BU presidents from faking figures by loading wholesalers last minute with huge discounts, continuously cut the blueprint, and stop promoting individuals solely based on short-term delivery.</t>
  </si>
  <si>
    <t>Encourage work-life balance and prompt managers to recognize staff achievements, especially during difficult times.</t>
  </si>
  <si>
    <t>Develop a better sales model. Employees are forced to sell unwanted products like "Hum," a car product unrelated to phone service, often by deceptively hiding costs in customer plans. Failure to sell results in negative coaching, despite customer disinterest or even product damage. This dishonest practice is enforced with threats for not meeting quotas. Implement a fairer scheduling structure; currently, only top performers get desired schedules, while others are subject to an impersonal computer system. The promise of internal promotion is largely a joke, benefiting only a select few.</t>
  </si>
  <si>
    <t>Stop favoritism, be better resources for the team, and help them succeed instead of undermining them. Push back on executives collectively. The CEO is responsible for setting and fixing the company culture.</t>
  </si>
  <si>
    <t>Replace the HR Department with a more professional one. Address issues when many employees complain or leave due to a single member of Senior Management, rather than ignoring them.</t>
  </si>
  <si>
    <t>Develop strategic solutions instead of pushing meaningless agendas. Provide incentives for junior employees to stay and feel motivated. Listen to SME advice. Address complaints of harassment and inappropriate behavior in the office. Do not skip exit interviews; high turnover indicates major issues with managers or teammates. HR should monitor interoffice relationships to avoid conflicts of interest.</t>
  </si>
  <si>
    <t>Listen to employees and hold abusive leaders accountable.</t>
  </si>
  <si>
    <t>Stop faking a positive company culture; let it grow naturally by taking care of employees. Pay them on time, stop unprofessionalism, gossiping, and fraternizing.</t>
  </si>
  <si>
    <t>Prioritize hiring individuals who genuinely want to work and perform their jobs properly.</t>
  </si>
  <si>
    <t>Focus on performance management, provide a clear path for career advancement, and collaborate with HR partners to improve job satisfaction.</t>
  </si>
  <si>
    <t>Continue running the co-op program as is. The program provided significant learning, and JNJ management inspired interest in working there after graduation, despite initial disinterest in supply chain.</t>
  </si>
  <si>
    <t>Address the root cause of business issues instead of blaming employees for lack of success. Simplify procedures.</t>
  </si>
  <si>
    <t>Clearly define job descriptions and objectives for employees. Implement and enforce a process for oilfield project management. Properly train managers in both technical and soft skills. Enforce English language skills for operations in the oil industry.</t>
  </si>
  <si>
    <t>Pay technicians and pharmacists more to reduce high turnover.</t>
  </si>
  <si>
    <t>Recognition for a job well done is highly valuable. Incentives are limited if work is not supported and appreciated.</t>
  </si>
  <si>
    <t>Develop long-term processes rather than relying on momentary personalities.</t>
  </si>
  <si>
    <t>Improve communication and make greater efforts to solve equipment issues.</t>
  </si>
  <si>
    <t>Train leaders and organize schedules to ensure a reasonable workload.</t>
  </si>
  <si>
    <t>Streamline home loan processing duties.</t>
  </si>
  <si>
    <t>Maintain current practices.</t>
  </si>
  <si>
    <t>Adopt new modalities to keep employees happy.</t>
  </si>
  <si>
    <t>Consider the challenges drivers face.</t>
  </si>
  <si>
    <t>Keep new hires and offer them higher salaries.</t>
  </si>
  <si>
    <t>Focus on nurturing employees from different backgrounds, rather than prioritizing those from legacy Chevron.</t>
  </si>
  <si>
    <t>Properly train and educate leadership positions instead of offering quick and untimely promotions. Management needs to understand feasible demands for the company. To yield better results, operational changes are needed on a larger scale.</t>
  </si>
  <si>
    <t>Please maintain the same pace.</t>
  </si>
  <si>
    <t>The broken corporate culture is deeply entrenched, and there is no hope for change.</t>
  </si>
  <si>
    <t>Include employee satisfaction in the bottom line, with measurable metrics.</t>
  </si>
  <si>
    <t>Management should experience the routes for a few weeks to understand the current operational issues that have ruined a once great company.</t>
  </si>
  <si>
    <t>Listen to employees.</t>
  </si>
  <si>
    <t>Management needs to do their job properly and care about the staff.</t>
  </si>
  <si>
    <t>Stop discriminatory practices against foreign hires. Get rid of the bell curve that was promised to be removed two years ago. Promote a meritocracy-based promotion system rather than the seniority-based legacy system. Conduct full 360 evaluations with more than 4 stakeholders evaluating people, instead of the current 2-evaluator system, which is effectively a one-evaluator system.</t>
  </si>
  <si>
    <t>Recognize that employees are not just numbers; they are partners who can bring greater success if allowed to create.</t>
  </si>
  <si>
    <t>Fire some managers. Morale is consistently low. Without the benefits, turnover would be huge. Get rid of the petty managers.</t>
  </si>
  <si>
    <t>Continue to build talent capital, as the company has a brand for employing the best and brightest. Avoid falling prey to politics that have engulfed earlier competitors.</t>
  </si>
  <si>
    <t>Put thought into hiring and layoffs, stop using old technology, pay people what they're worth, make people feel valued, and stop with cheesy and pointless trainings.</t>
  </si>
  <si>
    <t>Sell the company. The stock price was $40 ten years ago, they paid $27 billion for Guidant, and now the market cap is $9 billion, with the stock price at $5. If unhappy with the company, wait for a new CEO, as they are on their 4th CEO in the past 4+ years.</t>
  </si>
  <si>
    <t>Ensure raises are competitive to retain employees. Allow employees to take vacation without feeling like a burden. Hire more people to help with high caseloads.</t>
  </si>
  <si>
    <t>Raise commission or base salary to compete with other banks.</t>
  </si>
  <si>
    <t>Should adopt a 5-day working culture.</t>
  </si>
  <si>
    <t>It is difficult to advise management when the business model is extremely profitable, as the current 'way of doing things' is perpetuated due to validated results.</t>
  </si>
  <si>
    <t>Bring back mid-sized sedans; with COVID-19 here to stay, businesses will want company cars that don't share rides (for social distancing) and are electric.</t>
  </si>
  <si>
    <t>Need to hold managers accountable for correctly and fully utilizing staff resources.</t>
  </si>
  <si>
    <t>Do not assume everyone who works there is stupid, and have more sympathy for your workers.</t>
  </si>
  <si>
    <t>Get rid of terrible people managers instead of retaining them and laying off competent employees.</t>
  </si>
  <si>
    <t>Ensure delivery is done on time, reward clients who outperform, and provide incentives to the sales group.</t>
  </si>
  <si>
    <t>Keep pushing to get everyone focused on bigger opportunities. Visa is a great place to work and is on the right track for future improvement.</t>
  </si>
  <si>
    <t>Learn your position and do not punish employees for trying to help others.</t>
  </si>
  <si>
    <t>Work on salary hikes and reward employees for their contributions.</t>
  </si>
  <si>
    <t>Assign individuals with a proper balance of collaboration/communication skills and long-term vision. Avoid assigning non-people persons with poor professional reputations who cannot delegate due to lack of trust, as this ensures failure of major projects. Ensure tasked employees don't suffer from extreme tunnel vision and understand that stakeholder engagement and following enterprise-wide methodologies/processes are essential for positive change management.</t>
  </si>
  <si>
    <t>Be fair and equal to all nationalities.</t>
  </si>
  <si>
    <t>Management acts like a bunch of kids running around playing boss.</t>
  </si>
  <si>
    <t>For my situation, things could have been changed more. An office lady at the window was repeatedly rude and disrespectful. She was reported multiple times by me and other drivers. It got to the point that many drivers would elect not to do extra work and just do a single 3-4 trip run to avoid dealing with her on her shifts.</t>
  </si>
  <si>
    <t>Focus on ensuring employees are fully utilized and work in areas important to their role instead of just loitering and hoping from task to task.</t>
  </si>
  <si>
    <t>Pay more attention to the challenges faced by executives in the field.</t>
  </si>
  <si>
    <t>Assess knowledge and ensure meaningful directives and strategies are implemented from the top down.</t>
  </si>
  <si>
    <t>A very good opportunity to learn and grow your professional career.</t>
  </si>
  <si>
    <t>Give young people more opportunities.</t>
  </si>
  <si>
    <t>Keep being great and people-oriented.</t>
  </si>
  <si>
    <t>Base sales on the area, not past numbers.</t>
  </si>
  <si>
    <t>Communicate.</t>
  </si>
  <si>
    <t>Keep doing what you're doing.</t>
  </si>
  <si>
    <t>More attention to time.</t>
  </si>
  <si>
    <t>Set and execute a winning strategy. Smaller teams are better than bigger teams. Clarify roles and reduce friction/churn.</t>
  </si>
  <si>
    <t>Increase staff pay and provide options for career advancement.</t>
  </si>
  <si>
    <t>Be more data-driven and less reliant on personal preference.</t>
  </si>
  <si>
    <t>Support staff more closely.</t>
  </si>
  <si>
    <t>Be relaxed and don't take things too seriously; it's nothing to stress about.</t>
  </si>
  <si>
    <t>Address the culture. Illegal discriminatory behaviors are the norm. There is a culture of covering up errors and scapegoating to protect management.</t>
  </si>
  <si>
    <t>Take employee feedback seriously instead of shutting down requests or ideas. Foster team growth and encourage dedicating time each week to learning. Help new employees by setting up mentors or introductions.</t>
  </si>
  <si>
    <t>Include outsiders in management, not people who made the mistakes of big pharma.</t>
  </si>
  <si>
    <t>You all are great.</t>
  </si>
  <si>
    <t>Autocratic type of management.</t>
  </si>
  <si>
    <t>Change everything, fire the entire HR team and replace them with a better one.</t>
  </si>
  <si>
    <t>Reduce bureaucracy, particularly between roles with similar experience levels. Listen more to system improvement recommendations made by employees who utilize those applications daily.</t>
  </si>
  <si>
    <t>Cut down on bureaucracy.</t>
  </si>
  <si>
    <t>Give everyone an equal chance to progress instead of favoring established staff with the same old ideas.</t>
  </si>
  <si>
    <t>Take care of the people building the product and show some appreciation for their daily efforts.</t>
  </si>
  <si>
    <t>Provide plenty of management training.</t>
  </si>
  <si>
    <t>Give more training opportunities.</t>
  </si>
  <si>
    <t>It's time to stop flying by the seat of your pants. Forethought and real project management are essential.</t>
  </si>
  <si>
    <t>Listen to the 'little' people below.</t>
  </si>
  <si>
    <t>Stop looking for sycophants and put some conscious people in management.</t>
  </si>
  <si>
    <t>Stop hiring people who act like police. Stop pretending employees can reach out for help if needed. Stop pretending employees get PTO.</t>
  </si>
  <si>
    <t>Do not promote people who clearly mislead customers and have been known to do so. Promoting only from within and solely based on numbers has created a dynamic of bad sales practices.</t>
  </si>
  <si>
    <t>Hire competent people.</t>
  </si>
  <si>
    <t>Consider if there is a better approach than the regional model, as it might be making it difficult for Managing Directors (MDs) to staff projects.</t>
  </si>
  <si>
    <t>Look after top-performing staff instead of those who say the right things but deliver little value to the business.</t>
  </si>
  <si>
    <t>Advise students on where to live.</t>
  </si>
  <si>
    <t>The answer to increasing revenues is not to lay off all employees.</t>
  </si>
  <si>
    <t>Break up the company and sell it because it's too old.</t>
  </si>
  <si>
    <t>Extend the training process further.</t>
  </si>
  <si>
    <t>Be nicer and less intimidating to staff.</t>
  </si>
  <si>
    <t>Give more opportunities to junior staff.</t>
  </si>
  <si>
    <t>Get out into the field and occasionally help the RSRs (Route Sales Representatives) to show genuine care. Also, do not call or visit store managers only when needing to push a lot of product or sell a display; act like you genuinely care about their needs.</t>
  </si>
  <si>
    <t>Reward people and create opportunities for growth.</t>
  </si>
  <si>
    <t>Review pay. Give genuine opportunities to move up rather than just sideways.</t>
  </si>
  <si>
    <t>Implement a slightly more rigorous recruitment process.</t>
  </si>
  <si>
    <t>Australian Management should intervene to remove micromanagement by implementing regular anonymous feedback.</t>
  </si>
  <si>
    <t>Treat people with respect.</t>
  </si>
  <si>
    <t>Be better.</t>
  </si>
  <si>
    <t>Listen to those who need to be heard. Actually listen.</t>
  </si>
  <si>
    <t>Keep trying to reduce the adversarial relationship with the unions.</t>
  </si>
  <si>
    <t>Improve work-life balance and provide associates with job security.</t>
  </si>
  <si>
    <t>Restructure departments for a more flexible hierarchy that listens to employees.</t>
  </si>
  <si>
    <t>Invest in soft skills, understand the science, elevate workers, don't single out employees, understand the challenges women face in male-oriented occupations, and allow for more flexible behavioral expectations.</t>
  </si>
  <si>
    <t>Provide longer breaks and clarify who the manager is for each shift.</t>
  </si>
  <si>
    <t>Offer more healthy food options.</t>
  </si>
  <si>
    <t>Profit motives benefit shareholders but not hard-working employees. Consider cost-of-living raises.</t>
  </si>
  <si>
    <t>Recognize talent to prevent attrition.</t>
  </si>
  <si>
    <t>Avoid temporary employment trends, cutting benefits, and reducing team building for cost savings.</t>
  </si>
  <si>
    <t>Provide better resources for heavy loads.</t>
  </si>
  <si>
    <t>Practice what you preach; address problems instead of eliminating whistleblowers. Examine supervisors and managers for issues. Recognize hard-working 3-10 year employees who keep the company afloat.</t>
  </si>
  <si>
    <t>Be nicer and stop showing hate.</t>
  </si>
  <si>
    <t>Listen to employees more often and truly engage with them. Don't act like you are in high school; lose the hierarchy game, it doesn't help.</t>
  </si>
  <si>
    <t>Please actually set up an in-office.</t>
  </si>
  <si>
    <t>Get new management.</t>
  </si>
  <si>
    <t>Be nice to the associates.</t>
  </si>
  <si>
    <t>Relentless pressure from the top. Constantly changing direction. Senior management is easily sold on every shiny new toy, rather than strengthening existing infrastructure.</t>
  </si>
  <si>
    <t>Great brand name. Top Management are consistent on bank's goals and strategies. Constantly growing company.</t>
  </si>
  <si>
    <t>Work hours do not adhere to internationally accepted standards. Supervisory culture still embedded in 20th century, with juniors addressing Supervisors as 'Sir', and Supervisor wielding his authority with abandon.</t>
  </si>
  <si>
    <t>Retail stores are severely understaffed. The new system, Seibel, is not properly understood by staff. Bonuses are based on Net Promoter Score, specifically the first question: 'Would you recommend Vodafone to a friend or family?' Staff are penalized if a customer gives less than 9/10, potentially leading to job loss. Vodafone does not realize that people rank based on their whole experience, not just the last one. Most departments that can resolve customer issues are only available via email.</t>
  </si>
  <si>
    <t>Working with business owners or employees to solve telecommunication and technology. Great salary, if sales goals are met.</t>
  </si>
  <si>
    <t>Sales expectations are unrealistic. Due to Covid, the job shifted from outside sales to inside sales, becoming a glorified telemarketer role. Leadership micromanages and constantly changes directives. It's impossible to consistently perform without feeling overwhelmed and stressed, often working 50-60 hours per week. Operations and customer service teams are unhelpful, with broken and inconsistent processes, causing more problems for customers that Business Account Managers are expected to fix, even if they didn't create the issue.</t>
  </si>
  <si>
    <t>Decent work-life balance. Opportunity for learning.</t>
  </si>
  <si>
    <t>Growth within the company is based on favoritism and proximity to the boss. No 13th month pay, performance bonus, or employee stock options. The CEO promised job retention in 2020, but staff were quietly let go, leading to disappointment and resignations among those who stayed.</t>
  </si>
  <si>
    <t>Eye-opening: Teaches you exactly how a company should not be run. Compensation is tolerable. Diverse clientele: Exposure to a broad range of clients if you can tolerate the cons.</t>
  </si>
  <si>
    <t>Communication breakdown: An endemic lack of communication exacerbates every problem. Soul-crushing work-life balance: Expectation to dedicate your life to the job; personal time and commitments are disregarded. Dead-end job: Promises of advancement are smoke and mirrors; no growth or meaningful recognition. Toxic culture: Cut-throat environment fosters hostility and stress; cooperation and collegiality are non-existent.</t>
  </si>
  <si>
    <t>Most employees are great. Management will ask you to do things that are against policy, potentially leading to legal issues.</t>
  </si>
  <si>
    <t>HR and upper management do not support employees who report ethical violations. When employees exceed goals (e.g., 200%), management questions why they are above goal instead of recognizing excellent sales ability. Payouts are the lowest seen at a financial institution. Clawbacks occur if customers close or charge off accounts within 90 days, negating sales credit and requiring double work to catch up. They don't run Chex Systems, leading to frequent clawbacks. Technology is poor. Hold times for Bank Support, Fraud Management, or Collection Department average an hour, meaning only about 5 customers can be helped per day for service instead of making sales. Most branches are open 7 days a week and late hours, but not all necessary departments are available during those times.</t>
  </si>
  <si>
    <t>Although they are sweet initially at the time of interview, making everyone feel it is a great place to work, only the salary package is okay.</t>
  </si>
  <si>
    <t>No job security. Management shouts at employees and makes them feel ashamed and embarrassed even for small mistakes. No good work culture. A lot of politics, especially senior people blame juniors for every mistake. Hiring process is too slow. Senior HRs are irresponsible, making teamwork difficult as they try to dominate and shift blame.</t>
  </si>
  <si>
    <t>Okay to work for.</t>
  </si>
  <si>
    <t>Don't expect to be treated fairly by District and General Managers.</t>
  </si>
  <si>
    <t>Provides good salary package on time.</t>
  </si>
  <si>
    <t>Products are too costly. Frequent staff changes (every 6 months). Poor team management. Too much pressure from the senior team. No cooperation from admins. Constant threat of losing job. Too much workload. Heavy targets but poor products. Delivers too late and products are damaged. Credit facility is a way of exploitation where employees are caught between dealer and company. If anything goes well, ZSM takes credit; if anyone makes a single mistake, ZSM blames them entirely.</t>
  </si>
  <si>
    <t>Microsoft offers excellent benefits, including generous 401k matching, great dental insurance, personal wellness programs, and ESPP. Due to name recognition and company footprint, it's easy to secure appointments with customers who are heavily invested in Microsoft technology. Microsoft continuously innovates its technology, which is helpful to sellers.</t>
  </si>
  <si>
    <t>Microsoft's inside sales organization in Irving, TX, called Digital Sales, has a poor onboarding experience. Despite expecting world-class training, new hires receive a quick 2-hour HR meeting and are then left to set up their own equipment. There is no formalized training for external hires beyond standard product-focused videos. Sales tools are archaic and systems don't integrate; for example, spending weeks on Help Desk tickets for system access. Dynamics CRM is antiquated and cumbersome. Management is highly political, imposing constantly shifting priorities that benefit leadership's metrics, forcing reps to sell specific products through discounting rather than solution selling. There's a shift in how specialist teams interact with Digital Account Executives, with mandates for AEs to upskill, raising concerns about the future of specialist roles and piling more responsibilities onto AEs. Many digital sales managers are duplicitous and political, creating a hostile work environment. Policies are implemented haphazardly without proper training or context. There's a lot of internal noise from contractors seeking introductions to customers, many of whom are inconsistent and don't add value. Many long-term employees in this org seem to be 'riding the wave' due to high pay but lack basic skills and Microsoft knowledge. The Digital Sales AE and Specialist roles in Las Colinas are not recommended unless you have extensive prior experience in the Microsoft ecosystem, as enablement for navigating complexities and shifting priorities is lacking for those from other software companies.</t>
  </si>
  <si>
    <t>The front desk receptionist is extremely helpful. The company's location across from Taco Bell and KFC makes meal breaks convenient.</t>
  </si>
  <si>
    <t>AMP has horrible upper management and a toxic, outdated work culture. The CEO's response during the pandemic was, 'Working from home is an earned privilege,' while many accounting firms initiated work-from-home policies until November 2021. Technology and IT infrastructure are obsolete and outdated, with frequently crashing software. While demanding hours are expected during tax season (January through April), working 50-55 hours is expected year-round, making work-life balance non-existent.</t>
  </si>
  <si>
    <t>Azure and Office 365 offer cool tech with a growing customer base.</t>
  </si>
  <si>
    <t>Nothing has changed since leaving Microsoft. Forced ranking persists, with zero bonuses even when goals are exceeded. No tolerance for employees taking career risks or trying new growth areas; a poor fit results in a 'no internal moves' label, ending one's time at MS. There is a strong tendency for Indians to hire Indians, leading to a lack of diversity in teams.</t>
  </si>
  <si>
    <t>Work in the heart of a Washington legend with a decent salary.</t>
  </si>
  <si>
    <t>Employees are disposable and treated as such. Ideas were overshadowed despite having the most experience in the technology, and larger projects were pushed off for deadlines. Turnover was high, even within the team, with constant rotation and varied input leading to a jumbled mess in development.</t>
  </si>
  <si>
    <t>Colleagues are helpful and nice.</t>
  </si>
  <si>
    <t>Too much admin and paperwork.</t>
  </si>
  <si>
    <t>You get paid, though not a lot.</t>
  </si>
  <si>
    <t>Employees can expect mental abuse. Owners will curse at you, constantly threaten dismissal, and overload you with pointless objectives. There are no sick days, maternity leave, or 401k. Relationships with other employees are frowned upon, preventing after-work socialization. Expect long nights and rough days, with expectations to over-deliver constantly for little reward. Management has mental breakdowns, marital disputes, and colleagues cry after department meetings. High turnover, with people quitting or being fired as quickly as they are hired. No one gets a good reference, and moving to another position is seen as betrayal. Employment here is not worth the stress, effort, and pay. Past employee reviews confirm this; anyone saying otherwise is likely the owners themselves. This place cannot be recommended.</t>
  </si>
  <si>
    <t>High income. Above-average benefits package.</t>
  </si>
  <si>
    <t>High income isn't worth the issues. The CEO is a clueless puppet who bankrupted two companies before Champion. Customer service is secondary to profit. Quality of craftsmanship is low.</t>
  </si>
  <si>
    <t>The job is fully remote.</t>
  </si>
  <si>
    <t>There is no proper training period; training consists of doing tasks for other consultants for less than two weeks before getting clients. Once assigned clients, you are on your own and referred to a training manual for questions. Employees are given extremely difficult clients with unrealistic expectations and are fired without warning if these expectations aren't met. Expect to work insane hours to catch up on overdue tasks and be yelled at for not finishing work on time. For example, a client requiring 80 hours of work per week is expected to be completed by week's end, regardless of working all night. Many other SEO jobs offer better culture, support, and benefits.</t>
  </si>
  <si>
    <t>Good people (teammates). Growth potential. Good technology.</t>
  </si>
  <si>
    <t>Senior leadership's vision is disconnected from reality. Technical leadership has too much control when trying to monetize software. Mid-level and frontline management lack ideas and simply bark usual directives at reps. Too many tools to manage. Sales cycles are very long, so decent commission checks are not expected for at least 12 months. A large amount of equity is given, which seems good, but not when the stock has only gone down since going public.</t>
  </si>
  <si>
    <t>You work with and learn from the best in the industry; CBI employees take pride in their work and team success. Professional development is encouraged, leading to career success, though a competitive culture means those seeking minimal effort won't thrive. Your voice is heard; CBI embraces the Lencioni Pyramid, allowing for constructive conflict. Opinions and recommendations to management are well-received, provided they come with proposed solutions, not just complaints. As a small company, CBI offers ample opportunities for driven, smart individuals to make significant accomplishments and be recognized for their impact.</t>
  </si>
  <si>
    <t>Being a smaller company means less competitive benefits and limitations to career growth.</t>
  </si>
  <si>
    <t>A lot was learned when joining Getir. Teammates and boss were amazing, quickly developing business acumen. Deep and meaningful relationships were established with teammates, making work enjoyable.</t>
  </si>
  <si>
    <t>Things went downhill once former consultants were brought into C-level positions. While founders and new hires may be smart, professionalism and company history are needed to avoid issues, such as placing underqualified family members in key roles. The pandemic boost helped, but the company swelled with underqualified people in redundant positions, overburdening those doing actual work. Management was absent.</t>
  </si>
  <si>
    <t>Huge brand name. Great learning experience. Good canteen facility.</t>
  </si>
  <si>
    <t>Very low salary compared to the market. No growth opportunities. Politics, favoritism, bad working environment.</t>
  </si>
  <si>
    <t>Great pay.</t>
  </si>
  <si>
    <t>The company culture is very toxic, and I would not recommend returning or working here. Senior leaders gossip and form cliques, openly discussing staff and other leaders. Some leaders bully and intimidate, which is known, but complaints are ignored, and there's no safeguarding for non-management staff, leading to retaliation. Incidents include staff crying on calls, working while sick, requests not to take holidays, delivery metric manipulation to punish team members, requests for cameras to be on despite valid reasons, and team member burnout. Most people work evenings and weekends, and employees are often fired before replacements are onboarded, leading to zero handover and increased team stress. It's an unhappy workplace, despite colleague relationships. The workload is unrealistic and stressful. There are many other well-paying roles with realistic workloads, competent managers, and less office politics.</t>
  </si>
  <si>
    <t>Mental pressure, work partiality, stress.</t>
  </si>
  <si>
    <t>Paid on time. Plenty of passengers. Fairly anonymous, reducing victimization by hostile cab drivers. Airport trips are generally incident-free and pay the most. One nice rider bought dinner.</t>
  </si>
  <si>
    <t>The driver rating system is fatally flawed. Failure to maintain a 4.7 rating (or 94%) results in termination. Passengers are often drunk, intoxicated, or angry, affecting ratings. The training video's advice ('Hold the door for passengers, offer them water, and you'll get 5-star ratings every time') is misleading. Management does nothing to address driver problems, offering 'Drive more hours' as a solution. The app only shows the correct address about half the time. Incidents include passengers throwing up in the back seat and getting into fistfights.</t>
  </si>
  <si>
    <t>Learned underwriting skills.</t>
  </si>
  <si>
    <t>Terrible management, terrible benefits, no incentive plan, no updated policies, favoritism.</t>
  </si>
  <si>
    <t>Nice office, modern building, free coffee.</t>
  </si>
  <si>
    <t>Be prepared for lack of sleep and food, as only work matters; lunch breaks are non-existent. Systems are outdated, inefficient, and a waste of time; modern systems would improve efficiency and effectiveness. Questionable use of Excel.</t>
  </si>
  <si>
    <t>Very welcoming. They understand and treat employees as human beings.</t>
  </si>
  <si>
    <t>The phones are very busy.</t>
  </si>
  <si>
    <t>Health plan, benefits, office, snacks.</t>
  </si>
  <si>
    <t>Micromanagement. Low salary. Constant performance reviews.</t>
  </si>
  <si>
    <t>Starting pay is $15 an hour for most people.</t>
  </si>
  <si>
    <t>At the highest levels, they are unprofessional, egotistical, and shallow. Medical benefits don't activate until thousands in debt, and management is incompetent.</t>
  </si>
  <si>
    <t>Frontline employees are dedicated, loyal, and incredibly hardworking. They have endured ridiculous deadlines and poor planning, yet achieved miracles with minimal complaints. Current and former StackPath employees are excellent candidates for individual contributor roles.</t>
  </si>
  <si>
    <t>The company's leadership consists of finance professionals and incompetent individuals who have managed to rise. None have real experience managing a technology firm, and they spend most of their time covering this up instead of listening to experienced and knowledgeable people. Anyone who doesn't manage up to them is managed out, and the resulting mass exodus of talent is blamed on former employees. Too many fragile egos and insecurities at the management and executive level prevent ground-level employees from getting things done. The company has been stagnant for two years while competitors posted record profits.</t>
  </si>
  <si>
    <t>If you work hard and have ambition, you will be very successful and earn great commission. You decide your success; Verizon will not hinder you.</t>
  </si>
  <si>
    <t>There are a lot of politics. A manager was a horrific bully who continually got away with picking on people, forming cliques with some and destroying others.</t>
  </si>
  <si>
    <t>Well looked after. Good working environment. Sick scheme. Top pension. Approachable employer. Holiday bonus. Attendance bonus. Progression. Car scheme purchase. Ambassador program. Full canteen. Gym. Shower rooms. EDAP training funding. Weekly pay. Steady pay rises. On-site union. Cash machine. Regular breaks. Good shift pattern. Best hourly pay rate. Generous shift allowance. Cycle to work scheme. 8-hour shifts. Tuck shop (newspapers).</t>
  </si>
  <si>
    <t>None really. Everything was more than generous, though perhaps some employees took it for granted.</t>
  </si>
  <si>
    <t>McDonald's has a good environment.</t>
  </si>
  <si>
    <t>The store's location was bad.</t>
  </si>
  <si>
    <t>Great culture. Remote team, though most are in Colorado, with gatherings twice a year in Denver. Real respect for work-life balance, unlimited PTO, and ability to work from anywhere. Dev and PM teams are competent and efficient. Management truly cares about the team as people, not just resources for financial goals.</t>
  </si>
  <si>
    <t>No major cons. Benefits are expensive, which is common for smaller companies, not a specific con of Fruition but a reality of working for an organization with less than 50 people.</t>
  </si>
  <si>
    <t>Flexibility and culture made tax prep season manageable.</t>
  </si>
  <si>
    <t>The hours associated with tax prep season were long, as is common in the industry.</t>
  </si>
  <si>
    <t>Supportive environment and a very growth-focused environment.</t>
  </si>
  <si>
    <t>Not very well-paid job for freshers.</t>
  </si>
  <si>
    <t>Free credit repair for employee and one other. Good salary (at the time of employment). Yearly employee appreciation activities like a paid movie day.</t>
  </si>
  <si>
    <t>Extreme micromanagement. Unachievable metrics that constantly increase. Employees were forced to mislead and manipulate clients into staying and paying monthly fees for credit repair, which is done by a remote team using a fill-in-the-blank form. When clients want to cancel or cannot pay due to financial issues (e.g., job loss, homelessness), management instructs to 'Just put them on x service level and don‚Äôt let them cancel.' The only reason it's not a full-fledged scam is that some people do see great results and credit score improvements.</t>
  </si>
  <si>
    <t>Flexible and fun job with great coworkers.</t>
  </si>
  <si>
    <t>Very few pros, as cost optimization activities continually sap employee morale. The new CEO is the right person for the job.</t>
  </si>
  <si>
    <t>Rewards are significantly behind market rates. Management is slow to react to market changes. Overly bureaucratic; cuts are not made at the center but always in sales, service, or network. Tools are not fit for purpose. Needs better focus on turnaround programs, currently too internally focused, forgetting customer value.</t>
  </si>
  <si>
    <t>Good team members, great teamwork, and knowledge sharing.</t>
  </si>
  <si>
    <t>Non-stop harassment by the manager, trash-talking, humiliating, and nagging.</t>
  </si>
  <si>
    <t>Loved the people I worked with. Great benefits package.</t>
  </si>
  <si>
    <t>Very strong corporate culture, which has both good and bad aspects. Decisions from New York sometimes didn't make sense for the local market but had to be implemented. Office politics are rampant. As a giant corporation, it can be hard to feel seen, though my sector tried to mitigate that.</t>
  </si>
  <si>
    <t>Company leadership lies and misleads employees. Account Managers are arrogant without reason. The company does not aim for a positive work environment; its goal is to maximize stress. The real CEO thinks he's above everyone and rarely shows his face.</t>
  </si>
  <si>
    <t>You have a job to go to every day.</t>
  </si>
  <si>
    <t>They won't reward hard work, and it just keeps coming. Transitioning to a better role is difficult.</t>
  </si>
  <si>
    <t>Good salary experience, good attendance management.</t>
  </si>
  <si>
    <t>Only English is spoken; if you speak French, you don't work.</t>
  </si>
  <si>
    <t>The vast majority of junior people seem okay. The salary is higher than the industry average, even for entry-level jobs.</t>
  </si>
  <si>
    <t>Insane hours. Back-to-back meetings during the day, requiring actual work to be done during evenings, weekends, and non-existent spare time, leading to no work-life balance. The vaping division announced a 52% rise in profits, followed by the biggest wave of company cuts in years, indicating how little the company values its staff. Senior management prioritizes profit increases by laying off people and cutting resources. Extremely disorganized processes; no one on the team understands the fundamental step-by-step processes for project execution, which is alarming. No proper structure, at least in the vaping division. Pointless bureaucracy with meaningless forms and excessive alignment/pre-alignment meetings. The top leadership is clearly an 'old boy's club.' Excessive sucking up to senior management in meetings is unpleasant to witness. A proper, old-fashioned corporate machine.</t>
  </si>
  <si>
    <t>Safe, good working hours, nice internal staff (except sales).</t>
  </si>
  <si>
    <t>Boring. Lack of progression. Self-service hell. Extremely bureaucratic. Non-competitive products. Bad customer service. Impossible to get pay raises.</t>
  </si>
  <si>
    <t>Size and reach provide great scope.</t>
  </si>
  <si>
    <t>Size and spread of function limit innovation.</t>
  </si>
  <si>
    <t>Management is terrible. The school is a dangerous environment because the administration has no control. They have no backbone or experience for their roles. The school asks staff to physically manage students but does not support staff when parents have complaints. You can lose the credentials you worked hard for because staff are often hotlined with no support from the school; their solution is to fire you.</t>
  </si>
  <si>
    <t>Great environment, great people to work with.</t>
  </si>
  <si>
    <t>Do not share management issues with employees; always report to HR.</t>
  </si>
  <si>
    <t>Used to be great. Good benefits.</t>
  </si>
  <si>
    <t>No opportunities for growth anymore. Socialist commission structure.</t>
  </si>
  <si>
    <t>Good people, good staff members.</t>
  </si>
  <si>
    <t>Poor management, underpaid and stressed.</t>
  </si>
  <si>
    <t>Really good benefits including healthcare, vacation time, sick time, etc.</t>
  </si>
  <si>
    <t>Majority of the time you are dealing with more than 3 things at once, especially when understaffed. The training never ends (new training almost every month). 30-minute breaks. Customers can be really rude at times. Too many responsibilities for the pay.</t>
  </si>
  <si>
    <t>Overworked and underpaid, and performance review isn‚Äôt accurate.</t>
  </si>
  <si>
    <t>Compensation, flexibility, and a great team.</t>
  </si>
  <si>
    <t>Workload and schedule.</t>
  </si>
  <si>
    <t>Looking back at it, it was particularly hard work, and perks like drinks were nice.</t>
  </si>
  <si>
    <t>Management was failing; after I left, my whole organization fell apart. My manager constantly demanded things that were unproducible. Delivered on large projects and got no validation.</t>
  </si>
  <si>
    <t>Great work. New technologies. Freedom to take any user stories and no compulsion.</t>
  </si>
  <si>
    <t>Slow growth. Very low compensation.</t>
  </si>
  <si>
    <t>Good relationship with customers.</t>
  </si>
  <si>
    <t>A good place to work.</t>
  </si>
  <si>
    <t>Residents create problems during work.</t>
  </si>
  <si>
    <t>Steady work, great benefits. Casual attire.</t>
  </si>
  <si>
    <t>Very stressful call center; we were holding up to 100 calls every day upon arrival, with up to 60 calls waiting at quitting time. Extremely strict rules for all metrics to be met to hold your job.</t>
  </si>
  <si>
    <t>Work on your own mostly, pension plan.</t>
  </si>
  <si>
    <t>Treated like pond scum. Merchandisers are at the very bottom. You and your life hold no importance. You are replaceable. They will work you to death and use you up. Not appreciated or valued at all. They only hire young adults 22 to 30 for management positions, rarely anyone over 30. All they care about is their profit, but next to nothing trickles down to you. They can donate 2 billion to BLM, but only give merchandisers a 25 cent raise. Pathetic.</t>
  </si>
  <si>
    <t>If you want it to look good on your resume, it might be worth it. Benefits are acceptable, but only when compared to employee contributions.</t>
  </si>
  <si>
    <t>Over 80% of your energy is wasted on office politics, as you never know if the person sitting beside you is related to management. Working smart is not the reason for promotion; knowing the 'game' is. For example, if someone is doing a job incorrectly in a meeting, it's best to stay silent and act ignorant, otherwise you will be 'let go'. When issues arise, the first thing to do is cover your own back. To stay long-term, you either work extremely hard without respect, or you play the political game by any means necessary. System failures are common due to low-quality system design, analysis, and management, and no one truly cares about their work or their peers.</t>
  </si>
  <si>
    <t>Pay is good for sales position.</t>
  </si>
  <si>
    <t>Operations team is unorganized, racist, and terrible.</t>
  </si>
  <si>
    <t>Very positive company culture and support from all levels.</t>
  </si>
  <si>
    <t>Employment was based on passing the Series 6 in a short amount of time. I was unaware at the time of hire that my employment was contingent upon passing the test the first attempt and that I would be terminated immediately. I happened to be among the first round of employees they were terminating upon failure of Series 6 on the first attempt. Prior to me, if an employee failed, they were given another chance. My branch manager was a huge support and fought to see if anything could be done.</t>
  </si>
  <si>
    <t>Plenty of opportunities throughout the firm.</t>
  </si>
  <si>
    <t>Constant organizational changes to the firm.</t>
  </si>
  <si>
    <t>Okay pay, work from home.</t>
  </si>
  <si>
    <t>Slow moving up at this company, hardly any time off, no paid holidays. They don‚Äôt really care about you and they don‚Äôt know how to communicate well.</t>
  </si>
  <si>
    <t>None that I saw while being there for over 6 years.</t>
  </si>
  <si>
    <t>Too many to mention in this small space, a nasty toxic environment to work in.</t>
  </si>
  <si>
    <t>Flexibility with schedule and work from home, great benefits.</t>
  </si>
  <si>
    <t>No growth in yearly pay.</t>
  </si>
  <si>
    <t>Great spirit within the local teams. Interesting challenges to solve and huge impact possible. Good work-life balance.</t>
  </si>
  <si>
    <t>Often unhealthy relationships across locations worldwide caused by upper management. Most/all decisions are made in Germany. Upper management and HR accept/protect company-wide known toxic managers who bully/harass on a daily basis. There is a lot of talk about Bosch values, but upper management doesn't live by them.</t>
  </si>
  <si>
    <t>The floor staff on subacute.</t>
  </si>
  <si>
    <t>Everything else. Administration doesn't listen to any of their employees.</t>
  </si>
  <si>
    <t>On the surface, the HR team seems like an encouraging bunch, but when you dig deeper, they are just trying to keep their heads above water. Averaging over 100 plus open jobs with a time to fill at about six months, it's like digging a hole on a beach with a cup. The budget is shoestring, but they have high hopes. It's a no-win if you don't have the right people on your side.</t>
  </si>
  <si>
    <t>Pay, work-life balance.</t>
  </si>
  <si>
    <t>Exceptional perks and awesome bonus. Company provides medical benefits and family support. Join company only if you want money and nothing else.</t>
  </si>
  <si>
    <t>Bad Korean culture, master-slave relationship between headquarters and subsidiaries, technically no growth. Company follows military culture. HR is a puppet of management, not an employee-friendly company. Foreigners are not treated well.</t>
  </si>
  <si>
    <t>You get paid on time.</t>
  </si>
  <si>
    <t>All you do is have meaningless meetings and hear others talking about your work because, for reasons unknown, one or two 'stars' in the team get to present everything. Some of your coworkers who just graduated from an average school a few years ago, for reasons unclear to me, take themselves to be the 'expert' in the field and definitely acted like they are better than the rest of the team and kept telling you what to do. I can go on with how toxic it is to work there, but you can save yourself some trouble and avoid this place. You better do whatever the leadership team tells you to do, including coming to the office to meet in person, otherwise you'll be fired.</t>
  </si>
  <si>
    <t>Good environment, helpful staff.</t>
  </si>
  <si>
    <t>Low salary and poor work-life balance.</t>
  </si>
  <si>
    <t>There is not one 'Pro' at this company.</t>
  </si>
  <si>
    <t>No communication, so you can't do your job efficiently and correctly. No training. Gossip and extremely unprofessional Senior leaders who lack much-needed knowledge of managing an organization. Discrimination, and you feel like you're walking on eggshells all the time. Very heartless management with one-sided views who aren't open to others' thoughts or suggestions. No empowerment; no room for growth; low team morale across the board, whether it's in the clinics or their corporate headquarters. Worst place I've worked in my whole life. Horrible work environment and thick air 24/7. If you want to feel undervalued and not appreciated for your dedication and hard work, work here.</t>
  </si>
  <si>
    <t>The people at this company are where it shines. It's a very close-knit group of people who genuinely care about you. There's a lot of room for internal movement if you're okay with putting in maximum effort without the proper tools. It's a great place to learn, especially if you're right out of school. Small company, so you get direct time with leadership.</t>
  </si>
  <si>
    <t>Startup company mindset without being a startup. For some reason, leadership can't get out of the old, toxic patterns many startups have like grind culture and 'we're all a family here' attitudes. This company demands everything quickly and doesn't care about sustainability. The company culture is poor. When I started, it was healthier. Now it's large workloads with little recognition. Very much an attitude of 'keep grinding and don't stop.' I wish they celebrated wins. I grew to very much dislike the upper leadership, mainly COO and CEO. We were told that we were the experts on our projects, but then they'd tell you exactly how to do everything and give you unachievable goals. Very quick to speak and slow to listen. Leadership wants to have every department under their thumb and under complete control that they aren't willing to admit they don't have all of the answers. They should rely on the experience of those actually doing the day-to-day work, not just their own opinions. Their business outlook is terrible. Everything is on a month-to-month basis. Leadership could tell you to focus all your time on one project for a month then scrap it the next. If they don't see success within a few weeks, they consider the initiative a failure. Definitely not how business projects work. Leadership is so focused on succeeding quickly that they don't care to give you the time or the resources to properly do your job. From my experience/outlook, leadership is sexist when it comes to promotions. During my time there, at least two male colleagues received promotions while female workers (who had been there longer/were doing just as well) never advanced even though there was room for their advancement. I don't think leadership feels like they have a preference towards men, but that's exactly what a blind bias is. They need to reconsider how they value their employees. You will be expected to work without the proper tools. Anything outside of the meager platforms they already have is out of the question. They aren't willing to invest in the proper tools for you to do your job. Very much a 'use what you have' attitude, but their expectations and goals far outshine what can be done with what they gave us.</t>
  </si>
  <si>
    <t>Work-life balance. Good people. Fun atmosphere.</t>
  </si>
  <si>
    <t>Uncertainty of job security during a pandemic.</t>
  </si>
  <si>
    <t>Flexibility for taking time off.</t>
  </si>
  <si>
    <t>The insurance is so incredibly expensive! Raises at 2-3% mean you need to change positions after 2 years to actually make money.</t>
  </si>
  <si>
    <t>The residents and co-workers.</t>
  </si>
  <si>
    <t>Everything else: management, pay, short-staffed.</t>
  </si>
  <si>
    <t>The longer you work at Kipsu, the more you realize that the company is spinning its wheels. Yes, Kipsu was impacted by COVID-19 more than other software companies (being entrenched in the hospitality industry), but even despite that, before the pandemic and through the recovery, you can see that Kipsu is just sputtering along. The product barely ever changes. Sales goals are often not met. Bugs are rarely resolved. Customers request things that rarely ever get followed through on. As a whole, the company is way too frugal and tries to DIY everything, which makes the employees feel strapped and overworked.</t>
  </si>
  <si>
    <t>The company monitors your calls and watches everything you do. They are also very intent on adhering to a scripted call and meeting quotas within a specific time frame, which during a pandemic was almost impossible to meet.</t>
  </si>
  <si>
    <t>There are some pretty talented people there, but the only ones that last are the ones who are either 'yes' people, or the ones who somehow happen to agree with management.</t>
  </si>
  <si>
    <t>Very toxic culture, crazy high turnover. Big whale customers clearly steer the ship. Very unlikely it will ever manage to turn a profit due to insane overhead. You can give your all to the company, generally over-extending yourself, but the minute you disagree and push back, you're gone with zero warning. Promises are made to investors without factoring in the reality of how that will harm the employees, and then employees are expected to make up for the inadequacies of management. The business chases whales instead of thoughtful business practices. Their business is too heavily reliant on service providers that make the concept of them ever actually growing from a startup to a mature company completely implausible. They've been around for 10 years and still consider themselves a startup and use that to make excuses for lack of vision and guidance. Buyer beware.</t>
  </si>
  <si>
    <t>Some perks included free breakfasts and free cinema tickets.</t>
  </si>
  <si>
    <t>This is for DMS UK located in London Bridge, United Kingdom. A highly unprofessional company that is predominantly based on the labor of graduates or young people with little to no experience. The company does not value experience and does not want to pay experienced staff what they deserve. Employees are overburdened with work and constantly put under very tight, almost unreasonable, deadlines. There is no appreciation at all, no equal treatment, no internal training: just a constant flow of requests. The company expects employees to work overtime more often than not, to skip lunch breaks and, in general, to finish late. There is a high level of turnover, partly due to the fact that employees do not pass their probation period and the company does not offer valid reasons for their dismissal. One of the worst, if not the worst company I ever worked for.</t>
  </si>
  <si>
    <t>Knowledgeable employees, great 401k match, great benefits.</t>
  </si>
  <si>
    <t>Non-competitive salary and compensation program for salaried/corporate employees, not good working hours, hidden expectations, decent management at corporate level.</t>
  </si>
  <si>
    <t>Lots of training opportunities, and because it's under the Class III FDA bubble, there's a ton of attention to detail skills you gain. State-of-the-art facilities. Really awesome co-workers. A lot of little benefits like gift card giveaways, team lunches, etc. Great working culture.</t>
  </si>
  <si>
    <t>No sick pay, which became very apparent during COVID-19. Medical benefits are very pricey. Because of the lack of sick time, you are forced to manage your 112 off hours as if you would get sick for a week or two a year, leaving you with maybe a week or so of vacation. Like most companies, you have to negotiate really hard for higher pay.</t>
  </si>
  <si>
    <t>YVFWC is a good place to work overall. They really have a mission-oriented approach, and the heart of Carlos and senior leadership is in the right place. YVFWC is the kind of company that is dedicated to underserved populations and often provides services that are not reimbursable because it's the right thing to do. While it varies from clinic to clinic, it often feels like a 'big family' type of environment with good people rallied around the same mission. Carlos (YVFWC's CEO) is passionate about the community and is willing to take calculated risks to be the best in healthcare. The company is committed to actually providing good care and not just checking the boxes.</t>
  </si>
  <si>
    <t>Because the company is so mission-focused and federal funding can fluctuate, YVFWC relies on high productivity from their medical providers. Sometimes this causes burnout and frustration and causes a divide between clinical and administrative employees. That said, the providers are given adequate resources such as dietitians, behavioral health providers, and community health workers so they are not isolated in caring for their patients. These resources help shoulder the burden for the providers even though the volume expectations may be high.</t>
  </si>
  <si>
    <t>Pipeline, culture, opportunities, and remuneration.</t>
  </si>
  <si>
    <t>Poor leadership in Singapore country division. Too much 'fats' at region level.</t>
  </si>
  <si>
    <t>Work-life balance. Good salary.</t>
  </si>
  <si>
    <t>Too much management, not enough workers.</t>
  </si>
  <si>
    <t>Good working balance with great benefits.</t>
  </si>
  <si>
    <t>Management rude and very tired.</t>
  </si>
  <si>
    <t>Corporate learning. Good management school.</t>
  </si>
  <si>
    <t>No work-life balance.</t>
  </si>
  <si>
    <t>Just like a government office.</t>
  </si>
  <si>
    <t>Old people with aging hustle culture. They don't allow you to take risks.</t>
  </si>
  <si>
    <t>Discount is okay. The night job is pretty fun when you get along with your colleagues. No management to deal with on nights.</t>
  </si>
  <si>
    <t>Poor management - they take advantage of the fact most colleagues cannot lose their jobs with no notice as a tactic for bullying and threatening behavior. They basically like to think they own you. No appreciation - you can have a really busy night and still get everything done and more, with not even a thank you. Help out at other branches again with no thank you, from your manager or the manager at the other branch. Lack of understanding regarding how it is more difficult to sleep during the day due to life noise of the world, light, and heat. Poor attitude and behavior from management - especially when they are coming in at the end of a long night. Lack of training - Training/continuous training is nonexistent for night staff. My induction was a 9-5 shift during the day in which I spent most of it on a till serving customers on my own. And the only training I got was regarding day shift jobs/procedures. I got 2 night shifts training with 2 Customer Assistants in which they are not paid extra to do, and after that I was pretty much on my own. Extra tasks that get pushed onto night shift are not communicated effectively, leading to us being scolded because the task wasn't done/done incorrectly, for tasks which we have never been trained to do. Management just expects us to figure it out. Poor ineffective communication - finding out after going to work that you were supposed to be at another branch, therefore no communication regarding working at other stores, telling other store assistants and hoping the message gets through to the right people. It feels like the morning management settings are downright hostility or apathy, neither of which make you feel good at the end of a shift.</t>
  </si>
  <si>
    <t>Lot of client experience and learning challenges.</t>
  </si>
  <si>
    <t>Defragmented employee base due to client support.</t>
  </si>
  <si>
    <t>Great school for career starters. Many growth opportunities in digital, IT, or product areas. Very good benefits. Good salary if negotiated well. Huge networking opportunities due to the number of employees and contact with various areas. If you play the game well, do good work, and are political, you will succeed.</t>
  </si>
  <si>
    <t>Over time, the culture makes you want to leave or prevents you from being as good a professional as they demand. For example, they want you to be questioning, but not too much. Frequent displays of authority from higher-ups, besides the politicking, make it rare to be yourself and grow. Not many opportunities for introverted people; you either play the game or you won't grow as desired.</t>
  </si>
  <si>
    <t>Defined career plan. Good for career start.</t>
  </si>
  <si>
    <t>Low salary. Difficult to get promoted; the higher the position, the more political it becomes to advance. Depending on the project, there is an excessive accumulation of overtime.</t>
  </si>
  <si>
    <t>Great benefits, and that‚Äôs really it.</t>
  </si>
  <si>
    <t>They treat contact center employees well in training, but after you hit the floor it‚Äôs a different story. You get told not to call out, but you have a lot of sick time to use before the year is up and can only carry over 40 hours. Customers are always rude, and bad surveys affect your metrics negatively.</t>
  </si>
  <si>
    <t>Excellent colleagues and manager. Good learning opportunities. Good exposure.</t>
  </si>
  <si>
    <t>Below par salary as per industry standards. Not good hike.</t>
  </si>
  <si>
    <t>Band 3+ employees do not know what they are doing, and everyone screws each other over for promotions, treating newer employees like slaves without proper compensation. Band 4+ employees are lazy and chase trophies based on their employees' work without rewarding those who actually do the work.</t>
  </si>
  <si>
    <t>Good pay, benefits, and overtime compensation.</t>
  </si>
  <si>
    <t>Long hours and weekends can be draining.</t>
  </si>
  <si>
    <t>Great management and exceptional training.</t>
  </si>
  <si>
    <t>Few cons were found while working there.</t>
  </si>
  <si>
    <t>Many opportunities to learn and develop.</t>
  </si>
  <si>
    <t>Very bad colleagues and no motivation from managers or peers.</t>
  </si>
  <si>
    <t>Work environment is very good, seniors are helpful and knowledgeable (many from Aricent and Cdot). No work pressure. Good salary for experienced people joining VNL.</t>
  </si>
  <si>
    <t>Not much developing work. Still not working in LTE. No training for freshers, which may hinder their career prospects.</t>
  </si>
  <si>
    <t>They can fire you anytime; not trustworthy.</t>
  </si>
  <si>
    <t>Great clinical variety and caseload. Loved the immediate team.</t>
  </si>
  <si>
    <t>The company prioritizes profit over the well-being of clients and clinicians. Pay was terrible, and the overburdening and undervaluing of staff were unacceptable. Hard-working clinicians were run into the ground due to unattainable billable hours, administrative tasks, reporting, and marketing (staff were told to do their own marketing). This, combined with a taxing clinical workload, makes it difficult for new graduates. Unrealistic KPIs and billable hour expectations do not allow for planning, collaboration, or evidence-based practice. The bonus scheme is impossible to benefit from. There is poor communication from management and constant micromanaging of schedules. The company is not inclusive, with no flexibility or willingness to accommodate clinicians with disabilities.</t>
  </si>
  <si>
    <t>Coworkers are very knowledgeable; senior employees provide guidance while juggling their own responsibilities. Company "Peloton" awards (company-wide acknowledgment, gift card) can be granted for recognizing great work. It is a smaller company with a tight-knit "family" feel, fostering friendships through regular happy hours, ping pong/foosball, "President's Club" trips, and recreational sports. As an Oracle/Google partner, there is a high probability of working with large, exciting organizations regularly. Consulting allows for working on multiple projects simultaneously and switching to new projects regularly, accelerating learning and introducing a wide variety of technologies.</t>
  </si>
  <si>
    <t>As a small company supporting many products, employees need to wear many hats and fill in on projects based on sales pipeline demand. It is difficult to become a true expert or keep up with the latest features in a few products when 20-40 hours/week are spent on unrelated projects. This leads to being a reactive resource rather than a proactive authority in sales calls or new projects. Work-from-home options are limited and restrictive. A significant portion of pay comes from an "Incentive Bonus" based solely on billing hours to client projects, which is detrimental to other initiatives like supporting the sales team, internal infrastructure/demo environment maintenance, product development, training and certifications, documenting standard practices, and management/mentorship responsibilities.</t>
  </si>
  <si>
    <t>Work experience depends on the assigned team; it could be amazing with a great leader or the opposite.</t>
  </si>
  <si>
    <t>Low salary and a ridiculous 3% bonus performance. No flexibility for work-from-home. Micromanagement. No career opportunities; employees are stuck in the same role.</t>
  </si>
  <si>
    <t>Employees become immune to extreme politics and unprofessionalism. One can learn how to deal with a fake company and management, and how to digest significant lies, as many, especially HR and seniors, are dishonest.</t>
  </si>
  <si>
    <t>Salaries are never credited on time; sometimes they are paid only once every 1.5 to 2 months. Performance-linked amounts are never credited, even after fulfilling criteria (e.g., 5 years of service). Information on their website and other sites is false; there are fewer than 20 employees and no offices in Singapore or Delhi as claimed. Previous experience shown by employees is fake, using top company brand names. They are not management consultants and have no ongoing projects or clients, misleading new joiners with promises of training when they themselves lack business knowledge. Almost everyone has left, and current employees plan to leave once their delayed salaries are paid. They post fake job openings for social media appearance. Knowledgeable people are hired for short periods (1-3 months) to complete tasks, from whom the company learns, but then they fail to pay salaries.</t>
  </si>
  <si>
    <t>Some really good teams exist. Good benefits include around 16 public holidays, unlimited sick leave, and transport. Some may appreciate the culture.</t>
  </si>
  <si>
    <t>The 'grad culture' allows people to move quickly up the ladder without much experience, leading them to unknowingly become pompous. Food is not subsidized. Managers may take credit for travel opportunities employees worked hard for.</t>
  </si>
  <si>
    <t>Very rich environment. Many professions discovered, especially from the design to the production of aircraft.</t>
  </si>
  <si>
    <t>The company's kinetics are affected by too many personnel and niche employee functions.</t>
  </si>
  <si>
    <t>Management treats employees as disposable assets daily. You will regret joining this company.</t>
  </si>
  <si>
    <t>Not held accountable for missing delivery dates. Slow pace of work. Easy to hide.</t>
  </si>
  <si>
    <t>Too many changes in leadership. Leaders are afraid to make decisions, leading to much second-guessing. Not a good place unless you have excellent political skills.</t>
  </si>
  <si>
    <t>Used to be a good company.</t>
  </si>
  <si>
    <t>The CEO changed the entire culture from customer-first and willing to fix fees to prioritizing fees over everything. Managers are unwilling to promote people or support career advancement.</t>
  </si>
  <si>
    <t>Flexible working arrangements.</t>
  </si>
  <si>
    <t>Leaders could use more training.</t>
  </si>
  <si>
    <t>Great benefits and pay in line with industry salaries. Many opportunities for promotion and to switch business areas.</t>
  </si>
  <si>
    <t>Too much bureaucracy. Lack of communication between business units and working groups, leading to the same project being done by multiple groups unknowingly.</t>
  </si>
  <si>
    <t>Great company with great benefits.</t>
  </si>
  <si>
    <t>Depends on the leadership at the time.</t>
  </si>
  <si>
    <t>People were fun to work with.</t>
  </si>
  <si>
    <t>Not worth the pay.</t>
  </si>
  <si>
    <t>Good benefits, but that's where the advantages end for sales roles.</t>
  </si>
  <si>
    <t>RBC Bank appears to hate its sales staff, constantly reducing staff yearly while increasing goals. Sales staff are reduced, but more audit, risk, and other cost-incurring departments are hired. The sales department, which brings in revenue, is constantly under pressure, and no matter how well you perform, the CEO still treats you poorly.</t>
  </si>
  <si>
    <t>You can work from home, but often for free.</t>
  </si>
  <si>
    <t>Do not believe fake reviews claiming timely payment; it almost never happens. Employees often wait over a month to get paid, and the pay is extremely low. Admins and the CEO of Cosmic Strands speak poor English, making it difficult to imagine how they can judge quality academic work. The company still owes money to employees.</t>
  </si>
  <si>
    <t>Felt supported, loved coworkers, loved the brand concept. Normal hours, united team, good benefits offered.</t>
  </si>
  <si>
    <t>Would like to see faster company growth, quicker career progression, and salary raises commensurate with growing inflation.</t>
  </si>
  <si>
    <t>Depending on the role, there's a good work-life balance.</t>
  </si>
  <si>
    <t>No organization or strategy. Employees are not empowered or enabled to do their jobs. There are chauvinistic men who talk down to female staff.</t>
  </si>
  <si>
    <t>Pay is decent for the work.</t>
  </si>
  <si>
    <t>Employees have to pay for medical. Not vested in the retirement plan for almost 4 years. Everyone is replaceable, regardless of tenure.</t>
  </si>
  <si>
    <t>Flexibility and remote work.</t>
  </si>
  <si>
    <t>Underpaid (acknowledged by leadership but not changed). Overworked. No recognition. Toxic environment full of favoritism. Target of bullying and harassment. No career planning, growth, or personal development opportunities (internal programs lacked relevant courses). Poor communication and no transparency. Loss of many amazing people in leadership completely changed the culture and department function. Had to fight for an entitled referral bonus, which was never received.</t>
  </si>
  <si>
    <t>Home working. Outbound calling. Nice role with no strict targets. Working with nice customers who want to help.</t>
  </si>
  <si>
    <t>Minimum wage. Scripted calls are very robotic.</t>
  </si>
  <si>
    <t>Good and professional BPO, and a leading company for growth.</t>
  </si>
  <si>
    <t>There are rules that need to be followed.</t>
  </si>
  <si>
    <t>Nice place to work, good cafeteria.</t>
  </si>
  <si>
    <t>New process when I joined.</t>
  </si>
  <si>
    <t>Good work-life balance and working hours.</t>
  </si>
  <si>
    <t>No growth perspectives. Management is unreachable, and HR is an absolute shame.</t>
  </si>
  <si>
    <t>Employees experience free humiliation because management has hired all relatives.</t>
  </si>
  <si>
    <t>Friendly officers to work with.</t>
  </si>
  <si>
    <t>Terrible management and pay. Expectations often involve doing work that should be done by maintenance companies. No COVID safety measures, and cars are not cleaned after positive test results.</t>
  </si>
  <si>
    <t>Easy to move up with minimal effort. Friendly teams. Flexibility for different roles.</t>
  </si>
  <si>
    <t>Long hours. Understaffed, often working with skeleton crews. Constant demands and unorganized direction from upper management.</t>
  </si>
  <si>
    <t>No early hours. Ability to "check out" games for product knowledge. Employee discount.</t>
  </si>
  <si>
    <t>Toxic upper management. Confusing floor plans. Customers expect employees to know everything about every game/system. Non-negotiable trade-in prices frustrate customers, who assume employees determine the value of worn-out controllers.</t>
  </si>
  <si>
    <t>Very good place to work.</t>
  </si>
  <si>
    <t>Frequent raises, opportunities for promotions, flexible schedule.</t>
  </si>
  <si>
    <t>Favoritism among employees, catty workers, many high schoolers who bring drama, sometimes lazy management, frequent management changes, and lazy employees who don't contribute equally.</t>
  </si>
  <si>
    <t>The new office in Phase 3. A lot to learn as a Software Developer (if in the right place).</t>
  </si>
  <si>
    <t>Operates like a typical service-based company despite claiming to be product-based. Products are developed purely based on client requirements, meaning projects start from scratch even for similar ideas. Business Leaders (VPs or AVPs) hold excessive power, able to hire, fire, speak rudely, or impose sanctions without cause or review, often based on tenure (15+ years) or nepotism. Hikes are not performance-based but tied to current salary; freshers get higher hikes (20-30%) than experienced employees (5-8%), or no hike at all. Despite quarter-on-quarter profits during COVID-19, the company imposed salary cuts and layoffs. Leaves and salary are deducted for forgetting to fill time-logs, with no benefit of the doubt. HR has no authority; VPs make final decisions. Everything requires three levels of approval, even unblocking a website.</t>
  </si>
  <si>
    <t>Some people were pleasant to work with.</t>
  </si>
  <si>
    <t>UBS has a great work culture and genuinely cares for its employees. Supportive and knowledgeable peer group. Good work-life balance.</t>
  </si>
  <si>
    <t>Operates as a body shopping practice where consultants are placed based on management requirements rather than their interests and competencies, leading to dissatisfaction. Slow growth compared to Big4 firms globally.</t>
  </si>
  <si>
    <t>Hardly any pros. The India Unit of shared services GCC may look good from outside, but has a pathetic work environment internally.</t>
  </si>
  <si>
    <t>The company initially acts result-oriented, but if you exceed expectations, they will find fault in your methods (even if long-standing) and try to prove your work is worthless. Management is immature; taking independent decisions for the company's benefit without involving your immediate line manager can jeopardize your project and career, potentially leading to termination. GCC does not value loyalty from consistent performers; even after 10 years, management will find a way to dismiss you, resulting in zero job security at ABInBev. It is advisable not to consider any offer from GCC, even if unemployed. Management and HR are the worst experienced to date; HR was better when with Accenture. Office politics are worse than Indian politics. Aside from formal work attire and GCC office infrastructure, there is nothing attractive about the company.</t>
  </si>
  <si>
    <t>Good benefits, annual leave, pension, and car allowance. Global leadership has a good philosophy that needs to trickle down to the rest of the organization.</t>
  </si>
  <si>
    <t>Some managers play favorites, affecting growth prospects. HR was not supportive of associates.</t>
  </si>
  <si>
    <t>Lots of opportunity if willing to work hard and be humble. A company this big always has a place for the right fit. Endless opportunities to learn how things work in the financial services industry, if flexible and willing to move laterally or geographically.</t>
  </si>
  <si>
    <t>Generally pays middle-of-the-market and, due to economic downturn, does not bonus to meet or beat the market as in the past. There are many difficult personalities and politics, some of whom advance quickly, requiring tolerance. Finding the right management fit can be difficult. Employees can earn more and advance higher by leaving and returning. A level of tolerance for market uncertainty is required.</t>
  </si>
  <si>
    <t>Salary is good. Township is good.</t>
  </si>
  <si>
    <t>Bad HR policies. Pathetic food quality. No safety measures followed. Bad middle management. Bad work culture. No work-life balance.</t>
  </si>
  <si>
    <t>Many and very good; it's worth it.</t>
  </si>
  <si>
    <t>Few; everything is very viable and good.</t>
  </si>
  <si>
    <t>Incompetent management from top down. Many cheap H1B visa laborers run the show with limited understanding of the U.S. financial system and markets. John Waters is incompetent. Full-time employees are treated like contractors. Easy to get a job offer, but can be fired without notice or severance. Age, gender, and race discrimination are rampant in the MRM team from top down.</t>
  </si>
  <si>
    <t>Liberal environment and socially vibrant culture.</t>
  </si>
  <si>
    <t>Some bullying behavior by senior leaders is very difficult to report or professionally resolve.</t>
  </si>
  <si>
    <t>CommCorp has made strides in DEI efforts, creating an inclusive and supportive workplace culture. They actively encourage applications from all backgrounds and provide ongoing training for everyone to feel valued. There are plenty of opportunities for growth and advancement, allowing employees to take on new responsibilities and learn new skills. Highly recommended for those seeking a great place to work that values DEI and offers room for growth.</t>
  </si>
  <si>
    <t>There have been many recent shifts and growth; if strategies are not understood, it can feel like a lot of change, especially in a remote environment. Work-life balance can be hard to manage due to everyone's passion.</t>
  </si>
  <si>
    <t>Vacation time.</t>
  </si>
  <si>
    <t>Discounted products. Good salary. Job security.</t>
  </si>
  <si>
    <t>Stress. Overwork. Bad retirement plan.</t>
  </si>
  <si>
    <t>Management is lazy; everyone makes up rules as they go, leading to inconsistency, then holds employees responsible for their mistakes. Communication is only via Teams, so nothing is recorded, and managers give conflicting instructions. The job lacks professionalism until management wants to criticize something, despite managers having crying kids, barking dogs, and side conversations with spouses during team meetings. Management bullied the employee into working on their son's birthday, then used a computer malfunction as a reason for termination. They also allowed the employee to work from the hospital during their son's surgery using hotspots to avoid being short-handed, then used this as a reason for termination. They fired the employee without incident on their first day back from vacation because they couldn't hold managers accountable for not approving time off correctly.</t>
  </si>
  <si>
    <t>Nice office, snacks, everyone is suffering together.</t>
  </si>
  <si>
    <t>Moved offices 3 times in 2 years, leadership shifted constantly and was secretive, harassment reports, legal concerns.</t>
  </si>
  <si>
    <t>Training sucked, hours sucked, doing everybody's work on top of your own, and being treated as a person is nonexistent. You're just a number.</t>
  </si>
  <si>
    <t>Depending on the branch, there could be the best co-workers, good managers, and a good environment. Many benefits. You get to feel proud working in a bank.</t>
  </si>
  <si>
    <t>Performance is judged solely on customer survey opinions, which have many flaws. Customers with bad experiences with other departments or branches unfairly give negative survey feedback for transactions at my branch, making me the 'fall guy'. Management acknowledges survey flaws for frontline associates but offers no real solutions. Customers also give negative survey feedback for employees simply doing their job, such as asking for ID for transactions, even when following compliance rules. Management's advice on handling these situations is inconsistent and unhelpful, and HR seems unresponsive.</t>
  </si>
  <si>
    <t>The headquarters building in Richmond is very nice.</t>
  </si>
  <si>
    <t>Strict adherence to phone availability from log-on to log-off, with limited breaks and extended days for longer lunches. Supervisors with lower education critique calls based on absurd metrics, leading to forfeiture of monthly bonuses for minor errors. Monthly bonuses are easily forfeited for minor call failures, despite significant team contributions. Incentives like rubber bracelets and soup coupons are insulting. Employee appreciation days are not extended to call center staff, who are required to remain on phones. Lack of career development and vertical transition opportunities for claims, customer service, and sales departments. Mandatory alternating weekend and holiday work, with a lottery system for major holidays based on accrued points, often leading to working major holidays. Low hourly pay, with slightly higher rates only for undesirable shifts. Strict PTO accrual and usage rules, with limited availability due to staffing requirements. Dealing with disgruntled customers, often delivering bad news about policy coverage (e.g., to cancer patients), leading to emotionally draining and abusive calls. Management is aware of these issues but does not care, relying on a constant pool of high school graduates or underemployed bachelor's degree holders.</t>
  </si>
  <si>
    <t>Fast-paced dynamic company, great working environment, continued staff support during the Covid pandemic, great colleagues and leadership.</t>
  </si>
  <si>
    <t>Nice office, 'can-do' attitude among staff, city-adjacent location, fulfilling work on a life-saving device.</t>
  </si>
  <si>
    <t>Limited utility and small customer base for the device, with no new version commercialized in a decade. Slow-moving organization, little attention to systemic problems. Upper management politics stall productive change. Bureaucratic and hierarchical environment stifles innovation and advancement for talented engineers and developers. Uncompetitive salaries compared to other tech companies in Pittsburgh.</t>
  </si>
  <si>
    <t>The team, interaction with cute kids.</t>
  </si>
  <si>
    <t>Management does not care about employees and is rude, showing favoritism. Was required to complete a police clearance, invest $200 in uniform jeans, and buy a watch, only to be fired without cause.</t>
  </si>
  <si>
    <t>Good pay and benefits.</t>
  </si>
  <si>
    <t>A large clique exists due to many employees having worked together previously. Little opportunity to introduce new perspectives. Some senior management are entrenched bullies, which is only discovered after joining.</t>
  </si>
  <si>
    <t>Flexible schedule allowing multiple clock-ins/outs as long as hours are completed. Opportunity to style and get to know amazing customers. Fairly easy and fun job, enjoyable for those who like shopping.</t>
  </si>
  <si>
    <t>Zero stability; company is like a roller coaster. Constant inventory shortages due to poor merchandise management, with no changes despite recurring problems. Hours are not guaranteed and are cut during slow periods, including holidays. Lack of transparency despite claims. Feedback is welcomed but never implemented, negatively impacting customer experience. Inventory issues blamed on Covid, but other boutiques managed fine. No raises for two years until many stylists quit. Performance-based bonuses are negated by cut hours, making them feel insignificant. Qualified higher-ups are leaving, which is concerning. Public image and diversity/inclusion are prioritized, but employees for public campaigns are chosen based on skin color rather than merit, and D&amp;I efforts do not include all ethnicities, body types, genders, religions, or experiences.</t>
  </si>
  <si>
    <t>Upper management treats staff as disposable tools. Micromanagement makes excelling at one's job extremely difficult.</t>
  </si>
  <si>
    <t>Great product, especially in pharma, making a real difference in drug development. Decent commission plan.</t>
  </si>
  <si>
    <t>Awful, toxic management. Employees are put on performance plans and threatened with termination if they don't close deals within 2 months, despite a 4-12 month sales cycle. Management forces last-minute changes to payment terms or contract years. No company culture or collaborative environment. Lack of essential sales tools like Salesforce, ZoomInfo, or LinkedIn Sales Navigator, expecting reps to find contacts magically. Overall, a detrimental environment for mental health.</t>
  </si>
  <si>
    <t>Great pay and benefits, great coworkers, opportunity to serve military members, great work facilities, great culture.</t>
  </si>
  <si>
    <t>Long hours, including weekends and holidays. No backups, making it difficult to take time off. Promotion is contingent on finding a replacement. Lack of recognition. High management turnover. Decreasing early retirement benefits. Inability to retire even after 24 years of service.</t>
  </si>
  <si>
    <t>No career growth or significant upside.</t>
  </si>
  <si>
    <t>Capable international team in the UK and USA.</t>
  </si>
  <si>
    <t>Poor organization of local projects.</t>
  </si>
  <si>
    <t>The product has significant unreached potential. The people (excluding co-founders) are a positive aspect.</t>
  </si>
  <si>
    <t>Tech-bro energy without substance, no work-life balance, bare minimum benefits, salary, social connection, and inclusivity. Unnecessary emotional labor, distressed and confused coworkers, negative psychological safety, gaslighting, and retaliation.</t>
  </si>
  <si>
    <t>Awful pay, no benefits. Owners and upper management are vile and create a toxic environment. Upper management is condescending and disrespectful. The company violates many laws and basic practices. Owners act like a Fortune 500 company despite being a strip mall tattoo shop.</t>
  </si>
  <si>
    <t>Great work-life balance, good benefits, and incredible co-workers.</t>
  </si>
  <si>
    <t>Lack of overall direction from C-suite and department leaders. Company-wide direction changes regularly. Unclear career path opportunities, with management avoiding discussions. Lack of diversity in leadership roles. Management uses "collaboration" as a guise to avoid accountability for decision-making.</t>
  </si>
  <si>
    <t>The time spent here was not worthwhile, causing health issues due to a stressful job and high-pressure management.</t>
  </si>
  <si>
    <t>Challenging and demanding, pushing employees to their limits.</t>
  </si>
  <si>
    <t>A recent Bloomberg article about the CTO reflects a highly biased technology culture, unchecked by HR. Lack of transparency in remuneration and career opportunities.</t>
  </si>
  <si>
    <t>Great work-life balance, great development opportunities, good environment, lots of data to work with.</t>
  </si>
  <si>
    <t>Low salaries, flawed evaluation system, limited conference attendance, and insufficient asset team work.</t>
  </si>
  <si>
    <t>Opportunity to work with different clients, enhancing knowledge.</t>
  </si>
  <si>
    <t>The company lacks growth, which hinders employee development. I was stuck in the same position for a long time.</t>
  </si>
  <si>
    <t>Disorganized management. Promised an exit interview but never contacted me, and seems to be interfering with my unemployment application.</t>
  </si>
  <si>
    <t>Some helpful colleagues.</t>
  </si>
  <si>
    <t>Untimely payment, no scope for learning, unavailability of hardware (sometimes requiring personal devices), 3-month notice period, and zero benefits (medical, learning, no canteen).</t>
  </si>
  <si>
    <t>Cult-like upper management, making upward mobility difficult without being part of the 'in-group'.</t>
  </si>
  <si>
    <t>Best patients, fulfilling work.</t>
  </si>
  <si>
    <t>Awful management, the worst I have ever seen.</t>
  </si>
  <si>
    <t>Good pay and benefits. Helpful coworkers.</t>
  </si>
  <si>
    <t>No organized plan for success, only aspirational slides. Business units struggle for survival and are forced into opposing directions. Projects are often disrupted after significant work. Widespread denial of complexity. Disjointed, chaotic, and outdated tech stack. Crippling attrition of senior technical talent. Multiple engineering cultures are forced together, none of which are modern.</t>
  </si>
  <si>
    <t>Some lovely employees try to maintain a positive attitude despite anxiety and management's blatant disregard for their health and well-being. Everyone is terrified.</t>
  </si>
  <si>
    <t>Outdated strategies for Alzheimer's caretakers, catering only to wealthy patients and caregivers. The company seems unaware of current health crises and safety concerns, managing as if it were 1999.</t>
  </si>
  <si>
    <t>Unlimited time off, generous salary.</t>
  </si>
  <si>
    <t>Training and onboarding process is inadequate. Policies are disorganized and mixed with other documents. No sense of 'family' culture.</t>
  </si>
  <si>
    <t>Always busy, so no sitting around. Opportunity to learn a lot. Amazing organizational mission. Good salary and benefits, with free to low health insurance.</t>
  </si>
  <si>
    <t>Very hard to achieve work-life balance; management and team contact employees during vacation or after hours, with everything needed 'ASAP'. Department, including leadership, engages in racist and sexist comments and gossip, with no action taken to stop it. Favoritism in all departments. Micromanagement. Ineffective management that takes credit for other employees' work. HR and leadership do not listen to complaints or reports, and nothing gets done.</t>
  </si>
  <si>
    <t>Good compensation, benefits, office location, and independence. Culture is changing under new ownership, but the executive team is out of touch and struggling to stay relevant.</t>
  </si>
  <si>
    <t>Disorganized management, unclear objectives, and attempts to fix multiple issues simultaneously. Management is more concerned with the perception of performance than delivering quality results.</t>
  </si>
  <si>
    <t>Incredibly clean and beautiful store, with generally nice management.</t>
  </si>
  <si>
    <t>Department managers are old, cranky, and on power trips, dictating the daily work environment. Their personalized and often inefficient methods are detrimental, costing the company money. High employee turnover, with constant job postings, indicates a significant problem that management tolerates.</t>
  </si>
  <si>
    <t>Everything is a con. Promises of advancement are lies.</t>
  </si>
  <si>
    <t>Cannot think of anything good. While there is a nice office view, it doesn't compensate for hating the work environment.</t>
  </si>
  <si>
    <t>Worst managers, toxic environment.</t>
  </si>
  <si>
    <t>Interesting technology development, very talented engineers, excellent equipment and labs. Endless opportunities to learn and develop new skills. Very good compensation.</t>
  </si>
  <si>
    <t>Management is constantly shifted, leading to no long-term planning. Schedules and project management are non-existent. Endless work pace makes work-life balance difficult. Too many politics in what should be a creative process. Projects are rushed to completion regardless of quality.</t>
  </si>
  <si>
    <t>Worked with fun people, enjoyed team building activities.</t>
  </si>
  <si>
    <t>Discretionary bonuses. Management does not reward loyalty. Problems are left to fester instead of being dealt with immediately. Non-existent structured training for new employees.</t>
  </si>
  <si>
    <t>Accommodation is provided by TP.</t>
  </si>
  <si>
    <t>Unfair promotion process.</t>
  </si>
  <si>
    <t>Provides remote work opportunities.</t>
  </si>
  <si>
    <t>Very low, unaffordable salary.</t>
  </si>
  <si>
    <t>Good company, good for newbies, great environment, friendly and approachable people.</t>
  </si>
  <si>
    <t>Expected to arrive early to start systems, often on minimum wage.</t>
  </si>
  <si>
    <t>Assistance with documents for relocation, and potentially a nice view.</t>
  </si>
  <si>
    <t>Promotions are tied to city relocation with minimal financial benefit, and the moving package creates a binding commitment with uncertain reimbursement. Salary is a joke with no additional compensation. Training is vague and unhelpful, focusing on what not to say rather than practical skills. Employees are left to figure things out independently, with no support. The company only cares about performance numbers, treating employees as mere statistics, leading to judgment for underperformance. The company is disorganized in documentation, finance, and communication, with inconsistent treatment of employees. The job requires emotional detachment and a willingness to lie. Non-agents are assigned the lowest tasks. HR is unresponsive and unhelpful. Instead of hiring professionals, they promote agents and use higher management for micromanagement, especially in underperforming operational departments.</t>
  </si>
  <si>
    <t>Friendly environment, good management, and great accounts.</t>
  </si>
  <si>
    <t>The only downside is their payroll department.</t>
  </si>
  <si>
    <t>Fantastic experience with a positive work culture and ample learning opportunities. An enjoyable and rewarding environment.</t>
  </si>
  <si>
    <t>Great collaborative work environment, very supportive technical team, strong benefits package, cares about customers, flexibility to innovate and improve your role.</t>
  </si>
  <si>
    <t>Processes are lacking in some areas. Desire for more work-from-home flexibility.</t>
  </si>
  <si>
    <t>The office is large and almost always clean.</t>
  </si>
  <si>
    <t>The organization is completely non-existent. Senior managers are despots who denigrate and insult workers in private meetings, treating them as objects or numbers. Not recommended under any circumstances.</t>
  </si>
  <si>
    <t>Employees in production roles are seen as disposable. The company neglects employee well-being unless legally required, cutting corners to save money. It is a predatory employer that exhausts its workforce to maximize profit. They do not uphold advertised practices unless a client is on-site. Non-production roles are held responsible for others' procedural failures, with no performance incentives or appreciation for support staff. The company disregards employee mental health.</t>
  </si>
  <si>
    <t>Good infrastructure, new NKP location, and learning &amp; development opportunities.</t>
  </si>
  <si>
    <t>Biased hiring managers, especially India leadership, do not treat employees with respect. Salary increases or promotions for internal employees are based on connections, not merit. Zero work-life balance, excessive pressure to perform, and micromanagement.</t>
  </si>
  <si>
    <t>Nice work environment and good senior colleagues.</t>
  </si>
  <si>
    <t>Low pay.</t>
  </si>
  <si>
    <t>Company pays its employees very well.</t>
  </si>
  <si>
    <t>Work is provided at a steady pace and is very challenging.</t>
  </si>
  <si>
    <t>Easy work, flexible hours, no office work, nice colleagues, freebies.</t>
  </si>
  <si>
    <t>Good company policies, work infrastructure, and care for disabled employees.</t>
  </si>
  <si>
    <t>Good for collecting a paycheck and slow career progression.</t>
  </si>
  <si>
    <t>Highly political. Promotion depends on knowing the right people.</t>
  </si>
  <si>
    <t>Overall a flexible company with a lot of resources.</t>
  </si>
  <si>
    <t>Had to relocate, not fully remote.</t>
  </si>
  <si>
    <t>Hybrid work model post-COVID, access to senior management.</t>
  </si>
  <si>
    <t>No clarity of growth and next level beyond Vice President.</t>
  </si>
  <si>
    <t>Very nice place to work.</t>
  </si>
  <si>
    <t>Long working hours, sometimes at the office.</t>
  </si>
  <si>
    <t>The job pays well enough, and health benefits are good.</t>
  </si>
  <si>
    <t>Several individuals are extremely toxic, diminishing and ridiculing others. There is a lot of in-fighting and finger-pointing. Employees are blamed for problems created by upper management. There is little room for growth, and skills learned are not very transferable due to many home-brewed applications. The company does not value those who speak up or try to change things, nor does it value quality or hard work. Success seems to depend on being part of a social clique. The hiring process is deceptive, with over-promising in interviews. The place is riddled with problems.</t>
  </si>
  <si>
    <t>Better clothing, and nice customers.</t>
  </si>
  <si>
    <t>Betrayal of employees, always looking to find mistakes.</t>
  </si>
  <si>
    <t>Stable job, growth for some time, and overall better pay compared to other financial institutions.</t>
  </si>
  <si>
    <t>Very slow salary growth and fewer promotions. Office politics hinder promotion unless you are a management favorite or belong to the same race/nationality as the manager. Racial bias among managers prevents employee advancement.</t>
  </si>
  <si>
    <t>Always on time for everything.</t>
  </si>
  <si>
    <t>Schedule was good, with morning or evening options.</t>
  </si>
  <si>
    <t>Constant changes to try and stop fraud.</t>
  </si>
  <si>
    <t>JPMorgan Chase offers excellent benefits and a great work/family life balance. The company provides a career path for employees and great commission opportunities.</t>
  </si>
  <si>
    <t>Hourly pay is low. Corporate red tape is pervasive, making it unsuitable for those who prefer freedom and flexibility. The company focuses more on political agendas than business agendas.</t>
  </si>
  <si>
    <t>Salary is paid on time.</t>
  </si>
  <si>
    <t>Everything else is bad, especially office politics and poor management.</t>
  </si>
  <si>
    <t>Good benefits, management, and overall beneficial.</t>
  </si>
  <si>
    <t>Great coworkers and atmosphere, with a great customer base.</t>
  </si>
  <si>
    <t>Hours and pay were lower than needed.</t>
  </si>
  <si>
    <t>The only good thing is the pay rate.</t>
  </si>
  <si>
    <t>Employees are asked to do more than they are paid for, simply because of their bosses' authority. Corporate does not care about employees, contrary to training videos. The job is mentally and physically draining.</t>
  </si>
  <si>
    <t>Great company, varied roles are possible, and large assets.</t>
  </si>
  <si>
    <t>Upper management is not fully engaged in day-to-day operations.</t>
  </si>
  <si>
    <t>Commission payout was nice, when not nickel and dimed out of earnings.</t>
  </si>
  <si>
    <t>No work-life balance. Employees are trained to lie to customers. Constant threats to job security. No store repair support for constant issues.</t>
  </si>
  <si>
    <t>Well-funded office with a good introduction to the job.</t>
  </si>
  <si>
    <t>Overnight auditing is great for those who can easily keep busy and prefer solitude. Mostly low stress.</t>
  </si>
  <si>
    <t>If something goes wrong, you are usually the only person available to fix the problem. If management is not clued in on how to best handle situations, the stress falls to the employee.</t>
  </si>
  <si>
    <t>Employees learn every single thing about the domain-specific industry.</t>
  </si>
  <si>
    <t>The startup culture can be detrimental to personal life, with a very poor work-life balance. The organization operates more like a proprietary business than a company. One individual, Karan Chechi, has 100% authority to change rules and company policies at his convenience. Many cons were experienced over two years. Prospective employees should gather insights from former employees.</t>
  </si>
  <si>
    <t>Toxic company culture and very disorganized. The CEO takes ownership for accounts won and closed deals he had no involvement in. The CEO does not care for employees' well-being or career progression, nor for religious holidays or personal lives, even attempting to make an employee work on Christmas.</t>
  </si>
  <si>
    <t>The CEO is rarely heard from, except for weekly emails with little substance. Employees are encouraged to listen to the CEO's podcasts or appearances, creating a cult-like atmosphere. There is constant testing on everything. Management claims to care but daily actions show otherwise; employees are treated as KPI measurements.</t>
  </si>
  <si>
    <t>Offers good benefits and is a teaching hospital.</t>
  </si>
  <si>
    <t>Toxic environment where staff are reluctant to train new nurses due to high turnover of new graduates, who leave due to inadequate training. Nurses do not specialize in the OR, leading to varied assignments. Management fails to hold surgeons accountable for abusive behavior. Management abuses staff, with frequent last-minute mandates and non-emergent cases booked as emergencies, leading to staff being called in often. Benefits are decent but not competitive, and pay is not competitive. The manager is hands-off and displays inappropriate conduct, especially when nurses resign, making comments like "staff don't leave their jobs, they leave their bosses." He made inappropriate personal comments to a nurse in an interracial relationship. He lies to staff about resignation requirements, claiming PTO won't be paid with less than three weeks' notice. He also gives negative performance reviews to prevent OR staff from transferring, limiting growth. Work-life balance is nonexistent; employees work five days a week with two days off, one of which involves 24-hour on-call duty requiring them to stay near the hospital (which is infested with large flying roaches). Call duty is required at least twice a month, and there are no consecutive days off.</t>
  </si>
  <si>
    <t>Recently increased holidays from 25 to 30 days for all staff.</t>
  </si>
  <si>
    <t>Staff parking is a nightmare. It is almost impossible to improve one's mandate level unless a senior underwriter leaves. Training is dreadful. All systems are manual with little automation. There is a lot of gossip and clique behavior. Operations managers do little visible work. There is constant restructuring and low pay compared with competitors. The CEO is overly cheesy.</t>
  </si>
  <si>
    <t>The school district is organized.</t>
  </si>
  <si>
    <t>Terrible principals who bully new teachers and prevent them from moving to new districts to escape abuse.</t>
  </si>
  <si>
    <t>Good location, and holidays are observed whenever the stock market is closed.</t>
  </si>
  <si>
    <t>Employees are treated as assets without job security. The company reorganized completely to operate in India and the USA.</t>
  </si>
  <si>
    <t>Regular hours and paycheck. Nice surroundings and convenient facilities. Great coworkers campus-wide, mostly great students and faculty. Lots of freedom and autonomy.</t>
  </si>
  <si>
    <t>Dwindling salaries and higher workload. No raises for over ten years. Outdated technology and no yearly bonuses. Narcissistic management is closed to new ideas. Extreme nepotism and no job security. Uneven distribution of job responsibilities. The workplace has continually gone downhill.</t>
  </si>
  <si>
    <t>Busy, so days go by quickly.</t>
  </si>
  <si>
    <t>Underpaid, underappreciated, and lack of communication.</t>
  </si>
  <si>
    <t>No raises and very bad management, who would scream and curse at employees. Bad compensation packages, with no free tea or coffee. The CEO seemed oblivious to how their decisions impacted employees' lives, which was humiliating.</t>
  </si>
  <si>
    <t>Diversity, global impact, and work-life balance.</t>
  </si>
  <si>
    <t>Management does not listen. The toxic work environment can lead to harassment, including sexual harassment. The manager sexually harassed the employee and then badmouthed them to the lead manager to undermine their credibility. HR has not responded to the case.</t>
  </si>
  <si>
    <t>Great working environment and nice managers.</t>
  </si>
  <si>
    <t>Long hours; it takes about a week to adjust.</t>
  </si>
  <si>
    <t>Extremely disorganized, constantly undergoing reorganization, and no work-life balance. Routine late-night calls turn into lectures if unanswered. Regular 60+ hour work weeks with little to no guidance, poor file organization, and lack of communication. Pay and benefits do not compare to competitors. There is a lack of infrastructure and resources to support remote employees.</t>
  </si>
  <si>
    <t>Agency network, clients, potential for growth, training, and underwriting.</t>
  </si>
  <si>
    <t>Good people leave due to poor management/leadership. The company is overly hierarchical, rigid, and lacks agility. They pretend to care about staff and clients. There is a lack of market and insurance knowledge. The company is stuck in its ways with no desire for change. There is a lack of promotional opportunity; good employees tend to leave swiftly.</t>
  </si>
  <si>
    <t>On-time and good salary.</t>
  </si>
  <si>
    <t>The company (Hawkins) avoids emerging technologies and has yet to adopt technology from 20 years ago. The CEO is autocratic, and nine-hour continuous useless meetings are common. No value addition from juniors is accepted. Offices are outdated, as is the management's thought process. High packages for beginners are seen as a conspiracy to prevent them from finding comparative jobs. The CEO is skilled at recruiting needy people he can control. Quality standards of products are falling drastically.</t>
  </si>
  <si>
    <t>Everything is bad: the pay, the communities, and the corporate leadership. Leadership rules by fear.</t>
  </si>
  <si>
    <t>Great team, but communication is hard. On-site sushi chef.</t>
  </si>
  <si>
    <t>Old-timers are resistant to new things. AHM, HAM, and AHFC are in a power conflict over resource allocation. Managers act as if they are doing employees a favor by giving them a job, disregarding the mutual nature of the relationship.</t>
  </si>
  <si>
    <t>Good environment and friendly colleagues. Challenging projects and technologies.</t>
  </si>
  <si>
    <t>Sometimes requires working overtime on some projects.</t>
  </si>
  <si>
    <t>Discount on clothing. Great commission when hitting goals. Growth in the company for loyal employees. Close-knit relationships with coworkers.</t>
  </si>
  <si>
    <t>Mismanaged by the Founder and CEO, which trickles down to upper management. Upper management takes advantage of high pay by being irresponsible with how they treat store managers and workers. Many in upper management exploited the company's laid-back values and freedom. Very little assistance is provided to store managers who need it most. Immature upper management leads to unprofessional ways of managing store associates. The company is profit-minded but does not treat salespeople with the respect they deserve, despite them being the ones selling the product.</t>
  </si>
  <si>
    <t>Decent pay and benefits for part-time employees after 90 days.</t>
  </si>
  <si>
    <t>Safety is emphasized in orientation but disregarded on the first day. No trainer or manager help was provided on the first day. Employees are left alone to move and stack heavy boxes requiring two people, with managers only checking package flow, not offering help. This leads to safety risks.</t>
  </si>
  <si>
    <t>Extremely fast-paced learning experience. Established structure that requires learning and adaptation. Looks good on a resume. Friendly coworkers (if not in management).</t>
  </si>
  <si>
    <t>Insane micromanaging. Lower-level staff are overworked and underpaid. Inflexible management. Inability to impact change or improvements. Very frequent restructuring and redundancies.</t>
  </si>
  <si>
    <t>A somewhat diverse group of software engineers.</t>
  </si>
  <si>
    <t>Toxic work environment managed by an emotionally unstable group of people who are also team leads and friends with each other.</t>
  </si>
  <si>
    <t>Technical work is always impactful, interesting, and challenging.</t>
  </si>
  <si>
    <t>Corporate obligations, political agendas, rotating director-level staff, consistent restructuring, and de-prioritization of trust-funded technical assistance activities take up too much time and can hinder staff's ability to do real work.</t>
  </si>
  <si>
    <t>Work from home. Year-end bonus.</t>
  </si>
  <si>
    <t>Heavily micromanaged. Salaried employees have to work well over eight hours a day to complete their jobs.</t>
  </si>
  <si>
    <t>Fantastic colleagues, a nice office in a great location, meaningful responsibility given quickly, and slick marketing and brand.</t>
  </si>
  <si>
    <t>The business is burdened by enormous tech debt, which the C-suite refuses to address due to a poor grasp of technical concepts and unwillingness to listen to experts, leading to consistent deprioritization of tech debt. There is high turnover in engineering leadership roles, and the company has been without a CTO for 1.5 years, a significant red flag for a tech company. The C-suite lacks experience scaling a company at this stage of growth, evident in the CEO's poor decisions, lack of accountability, and apparent incompetence. Freetrade's app has stagnated while competitors have advanced. The C-suite does not care about employees; during a recent redundancy process, they rescinded job offers, lied about the number of redundancies, and extended probations so redundant employees only received one week's notice. Leadership communication is poor, lacking empathy and failing to address concerns directly.</t>
  </si>
  <si>
    <t>Some people are kind, knowledgeable, and genuine.</t>
  </si>
  <si>
    <t>Passive-aggressive behavior towards some employees; those deemed "out of the loop," not churchgoers, or vocal about employment law are targeted for redundancy during crises. For example, during COVID-19, ten people were made redundant eight weeks into the first lockdown despite furlough schemes. The culture is dead; it used to be about people and engineering excellence, not just money. The company claims high Christian principles to secure contracts but then dismisses staff unnecessarily, even when government funding could have retained them. This is abhorrent. The company has lost its way and is altogether toxic.</t>
  </si>
  <si>
    <t>Paycheck and benefits were incredible.</t>
  </si>
  <si>
    <t>Starting at 9 AM and getting home between 8 PM and 11 PM every night does not allow for a schedule or family life.</t>
  </si>
  <si>
    <t>Very corporate; if management likes you, you can pretty much do whatever you want.</t>
  </si>
  <si>
    <t>This is a very toxic company. Management preaches core values and brand promises, which are propaganda to brainwash employees. There is a high employee turnover rate. Employees constantly feel inadequate.</t>
  </si>
  <si>
    <t>Junior employees are very talented and deserve better.</t>
  </si>
  <si>
    <t>Problems with the President, COO, CEO, and Owner.</t>
  </si>
  <si>
    <t>Very well-structured scheduling. Opportunity to move up. Ability to learn many skills transferable to other jobs.</t>
  </si>
  <si>
    <t>Below-average pay for similar positions at other companies. Inefficiencies are rarely optimized.</t>
  </si>
  <si>
    <t>It provided a paycheck for bills.</t>
  </si>
  <si>
    <t>Lack of leadership and responsibility.</t>
  </si>
  <si>
    <t>During the school year, mornings and Fridays off allow for errands. It is rewarding when students and families see the results of efforts and trust in achieving academic needs and goals. Most teachers are dedicated and friendly. Employees are in charge of their own center with business autonomy (as long as sales targets are met). It offers significant learning about running a business and is a great resume opportunity for growth in the education field.</t>
  </si>
  <si>
    <t>Work on Saturdays. Extreme pressure from management when falling behind sales targets, leading to micromanagement by the District Manager. Salaried employees are asked to work beyond their job scope. Employees are expected to meet sales targets while managing current students' academic progress, which is too much for one person. Since the new CEO, millions have been spent on new software (Microsoft Workspace, Salesforce, Docusign), with questionable necessity, and new laptops are not connected to printers, requiring old laptops for printing. High turnover rate of education coordinators due to high demands and underpayment. No room for career growth if the center director stays for years.</t>
  </si>
  <si>
    <t>A company with history and reputation, well recognized, selective, and takes care of its employees. Great pay, especially for the mid-west. Perfect place for a business-oriented engineering project manager.</t>
  </si>
  <si>
    <t>Projects move slowly and change is incremental. Cincinnati location was not appealing.</t>
  </si>
  <si>
    <t>Good colleagues and plenty of career progression.</t>
  </si>
  <si>
    <t>Senior management is slightly disconnected.</t>
  </si>
  <si>
    <t>Some great people and perks.</t>
  </si>
  <si>
    <t>Incompetent management and lack of strategy.</t>
  </si>
  <si>
    <t>Best works council in the country.</t>
  </si>
  <si>
    <t>Great relationships with employees and students. Pay is okay for entry-level, benefits are good.</t>
  </si>
  <si>
    <t>Overworked with long hours. Inexperienced people giving feedback to experienced teachers.</t>
  </si>
  <si>
    <t>Good salary.</t>
  </si>
  <si>
    <t>Zurich acquired QBE Seguros, ruining the work dynamic by laying off people and automating everything, destroying a 'unicorn' company.</t>
  </si>
  <si>
    <t>Good work colleagues, though they often left.</t>
  </si>
  <si>
    <t>The company fleeced employees by promising bonuses for promoting a loyalty program, then ignored requests for payment. Similar issues were common. Lone working was standard, with only one minimum wage staff member on desk and no support for angry guests. Managers were harassed with 24/7 on-call duties. High staff turnover indicates poor treatment of employees.</t>
  </si>
  <si>
    <t>Good pay rate for the work done. Good work-life balance, great supervisors and management, comfortable working environment, and helpful teams.</t>
  </si>
  <si>
    <t>Rotation was overwhelming initially, but shift changes every two weeks became manageable.</t>
  </si>
  <si>
    <t>Enjoyed resolving payment issues.</t>
  </si>
  <si>
    <t>Non-payment issues due to billing problems.</t>
  </si>
  <si>
    <t>Great benefits, including paid time off and insurance. Standard office hours with only occasional requests for overtime.</t>
  </si>
  <si>
    <t>Salary schedules were based on job titles, which often didn't align with actual responsibilities. Despite periodic market adjustments, salaries lagged market rates.</t>
  </si>
  <si>
    <t>Decent benefits, vacation, and schedule.</t>
  </si>
  <si>
    <t>Employees are not treated well. Issues include management bias, retaliation for speaking up, and no repercussions for sabotaging or exposing other employees' personal information. The company is a mess.</t>
  </si>
  <si>
    <t>Job security and balanced life if work is managed effectively.</t>
  </si>
  <si>
    <t>Immediate managers are too powerful. HR is ineffective. No exceptions are approved, even in critical situations. Managers exhibit a fearless, biased approach, as HR is uninformed.</t>
  </si>
  <si>
    <t>Excellence in quality and customer perspectives.</t>
  </si>
  <si>
    <t>Staff is poorly valued.</t>
  </si>
  <si>
    <t>Bonus targets were met every year.</t>
  </si>
  <si>
    <t>Lack of growth, change, positive aspects, leadership, management support, structure, and opportunities.</t>
  </si>
  <si>
    <t>Many great people in the company, but one bad apple can ruin the experience.</t>
  </si>
  <si>
    <t>Toxic work environment in the department. One manager regularly talked over or shouted down employees. A culture of backstabbing and negative talk about employees behind their backs. Little to no concern for employee development; professional certifications were ignored. Employees were expected to stay in their lane. Suggestions for improvement or cost-saving ideas were met with denunciation. No leniency for Covid-related absences regarding arbitrary deadlines. DEI considerations were seen as leading to racism and sexism, with no appreciation for diversity of experience and ideas.</t>
  </si>
  <si>
    <t>Good company for advancement and growth.</t>
  </si>
  <si>
    <t>Management is out of touch with branch-level operations. Sales goals are difficult to achieve due to unapproved credit deals and an overly complicated process.</t>
  </si>
  <si>
    <t>Great concept and competitive salary compared to other retailers.</t>
  </si>
  <si>
    <t>Covid-19 halted future plans. The company was already undergoing drastic and difficult changes before the pandemic.</t>
  </si>
  <si>
    <t>Great people, flexible work culture, and many new projects and learning opportunities in the past.</t>
  </si>
  <si>
    <t>Management has continuously changed since the HP and CSC merger. No new deals are in the pipeline, leading to stagnant growth after a certain level and no job security.</t>
  </si>
  <si>
    <t>Opportunity to work with good team players.</t>
  </si>
  <si>
    <t>Encounter rude customers and are always short-staffed.</t>
  </si>
  <si>
    <t>Easy to get promoted. Short hours.</t>
  </si>
  <si>
    <t>Low pay. Large and bureaucratic. Ambitious employees leave after a year or two, leaving less motivated staff. Management is unenlightened and does not adapt to the market. The company lacks a future path and is not technologically advanced, still relying on IBM Mainframes from the 70s and 80s.</t>
  </si>
  <si>
    <t>Decent pay and benefits, strong focus on training and corporate mobility, and professional handling of COVID-19.</t>
  </si>
  <si>
    <t>Work is dependent on federal budgets, leading to inconsistent project quality and funding. This is inherent to government contracting, not specific to CACI.</t>
  </si>
  <si>
    <t>Timely appreciation, mid-year reviews for outstanding performance, powerful HR, internal promotions, and good incentives.</t>
  </si>
  <si>
    <t>May receive postings in undesirable locations, which is part of the job.</t>
  </si>
  <si>
    <t>Hires the best employees for every position, fosters a great family-like bond, and work is executed effectively.</t>
  </si>
  <si>
    <t>Dismissal procedures are horrendous and disregard employees' careers. Despite exceeding expectations, HR practices are shocking.</t>
  </si>
  <si>
    <t>Great products and high-caliber team members.</t>
  </si>
  <si>
    <t>Leadership is not empowered or willing to support genuine change. The culture is toxic.</t>
  </si>
  <si>
    <t>Many opportunities for internal movement due to the organization's size.</t>
  </si>
  <si>
    <t>Too large to be efficient, with significant bloat and upper management. Compensation does not seem commensurate with stress and work levels. Poor work-life balance.</t>
  </si>
  <si>
    <t>Challenging work, never bored. New and well-maintained on-site facilities (fitness center, cafeteria, company store). Excellent 401(k) plan with 100% match up to 6% of salary. Generous recent annual bonus and profit-sharing amounts.</t>
  </si>
  <si>
    <t>No opportunity to be proactive. The project relied on two over-customized third-party software applications, held together by Unix shell scripts and manual offshore development efforts. Enhancements strained these fragile fixes. Project management only intervened during near-monthly system incidents. Promotions seemed based on networking rather than merit. Newer cubicles are smaller, with 15 cubicles resized to 19 in one aisle.</t>
  </si>
  <si>
    <t>Fast-paced environment helps refine management skills.</t>
  </si>
  <si>
    <t>Creative colleagues and opportunities for business travel.</t>
  </si>
  <si>
    <t>Poor work environment and long hours.</t>
  </si>
  <si>
    <t>Great culture and awesome people to work with.</t>
  </si>
  <si>
    <t>Inconsistent working conditions when working outside as a UAS pilot.</t>
  </si>
  <si>
    <t>Good coworkers, decent pay, and benefits.</t>
  </si>
  <si>
    <t>The company monitors employees' Facebook profiles, looking back years for reasons to fire or lay off, even for political reasons.</t>
  </si>
  <si>
    <t>Enhances skills in speed, working on tight schedules, people skills, customer relations, and merchandising.</t>
  </si>
  <si>
    <t>Very good salary and strong cooperation among staff.</t>
  </si>
  <si>
    <t>Workload is sometimes very heavy.</t>
  </si>
  <si>
    <t>Good company with growth opportunities.</t>
  </si>
  <si>
    <t>Difficult to advance without engaging in company politics.</t>
  </si>
  <si>
    <t>Free snacks and some free beer.</t>
  </si>
  <si>
    <t>Everything is negative. Avoid this place.</t>
  </si>
  <si>
    <t>Work was okay, and the team was good.</t>
  </si>
  <si>
    <t>Management was a mess and very stressful during my tenure, though I've heard it has improved.</t>
  </si>
  <si>
    <t>Fuel card.</t>
  </si>
  <si>
    <t>Low pay, no advancement without nepotism, overworked, and very long hours.</t>
  </si>
  <si>
    <t>De-risked environment for inexperienced individuals seeking company building with job predictability. Smart and multicultural mix of entrepreneurs in residence. Opportunity to learn important lessons on how not to build a startup and understand personal resilience limits.</t>
  </si>
  <si>
    <t>Manipulative and non-transparent executive team. Micromanagement of extended core-team members towards inexperienced teams. Long-term return on investment and deferred salary losses are not worthwhile. Extreme turnover and employee churn due to a toxic culture where people are treated as disposable resources.</t>
  </si>
  <si>
    <t>Work-from-home option.</t>
  </si>
  <si>
    <t>Issues with supervisors, broken systems, micromanagement, computer problems, and lack of support. Overall, everything is negative.</t>
  </si>
  <si>
    <t>Teamwork and support system.</t>
  </si>
  <si>
    <t>Relief of clocking out at the end of the shift.</t>
  </si>
  <si>
    <t>Shockingly low salary. Bullying tactics by management. Union sides with management.</t>
  </si>
  <si>
    <t>Innovative technology, smart developers, and great industry knowledge.</t>
  </si>
  <si>
    <t>Bloated and incompetent middle management with no understanding of technology. The CEO is a puppet of VC firms, artificially inflating company value. Poor execution of market strategies and unhappy customers. Good talent is being driven out, and product development is outsourced. The CEO hired a poor team, consisting of friends from former companies. Systematic termination of employees based on age/salary. Terrible and unethical HR department. Complete lack of diversity.</t>
  </si>
  <si>
    <t>Competitive compensation and benefits.</t>
  </si>
  <si>
    <t>Immature software architecture and resembles a college project.</t>
  </si>
  <si>
    <t>Enjoyed the project I was working on.</t>
  </si>
  <si>
    <t>Management is extremely poor. Most projects are from Upwork, leading to no work-life balance. Lack of facilities and terrible leave policy. Reporting manager was the worst employee, taking all credit for my work. Advise avoiding this company.</t>
  </si>
  <si>
    <t>Best environment and good salary.</t>
  </si>
  <si>
    <t>The mission (on paper) is easy to support. Cool office space with many nearby food options. The CEO seems invested.</t>
  </si>
  <si>
    <t>New headquarters downtown Minneapolis. Experienced executive team. Great growth opportunities.</t>
  </si>
  <si>
    <t>Both-side cabs.</t>
  </si>
  <si>
    <t>Glad to have left the company while still sane.</t>
  </si>
  <si>
    <t>TP is an innovative, supportive, and respectful place to work.</t>
  </si>
  <si>
    <t>Private company with a great business model and structure, offers wonderful opportunities, and rewards those who show ability to take on responsibility.</t>
  </si>
  <si>
    <t>If you're ex-military or go to church with the boss, this is a great place to work.</t>
  </si>
  <si>
    <t>PTO, flexibility, training, logo wear, and site teams.</t>
  </si>
  <si>
    <t>Horrible pay and benefits. Employees are always overworked, underpaid, and underappreciated. There is a lack of support from upper management.</t>
  </si>
  <si>
    <t>Freedom in the classroom to teach using your own style.</t>
  </si>
  <si>
    <t>New employees are hired at a higher wage than loyal, long-time employees.</t>
  </si>
  <si>
    <t>Creative atmosphere and deep Disney history. The product is happiness, and the environment reflects that, making it a great place to work. Multiple opportunities for advancement.</t>
  </si>
  <si>
    <t>Sporadic workload. Compensation could be more competitive.</t>
  </si>
  <si>
    <t>The company cares about development; employees get an assigned dedicated mentor for personal and professional help. Taking time off was easy and encouraged, with a great approval process. Office life was great, transitioning to a flexible model for in-office or remote work. Great people and work-life balance; teams would lighten the load if someone was working too late. Opportunities to learn a lot about media relations and social media.</t>
  </si>
  <si>
    <t>Managing five clients was slightly too much; four would be ideal. Pay is average. Not many other cons.</t>
  </si>
  <si>
    <t>I learned a lot working at Meta and met many amazing people.</t>
  </si>
  <si>
    <t>Grossly underpaid and overworked. The company spends more time blaming and finger-pointing than actually resolving issues. They do not care about employees.</t>
  </si>
  <si>
    <t>Wonderful teammates who often become friends for life, sharing a 'PTSD' kind of bond. Benefits are fine. Significant learning opportunities, often due to understaffing, requiring junior team members to take on responsibilities above their title/pay grade.</t>
  </si>
  <si>
    <t>One side of the business is clearly prioritized in terms of support, vision, and growth, leaving 50% of the team without that experience. No work-life balance; at one point, I worked 250 hours a month. No one genuinely helps individuals grow towards career goals. The 'favorites game' is ridiculous; a small circle of people beloved by the Founder can do no wrong, even after serious complaints about bullying and lack of work, and still receive promotions. Harassment is not handled well; despite constant complaints, HR/leadership act unaware, suggesting poor communication or indifference. Abusive individuals still get promotions. Feedback is nonexistent. The Founder is frequently inappropriate, making moves on employees at social events, drunk dialing in the middle of the night to scream or cry, indicating instability. DEI work, though run by a wonderful person and committed team, is not integrated into daily work by leadership and is instead used for flashy award submissions.</t>
  </si>
  <si>
    <t>Good place to start a sales career. Organized company with the best sales tools available in the market.</t>
  </si>
  <si>
    <t>Prior to October 2021, the company hired good-hearted people who worked hard, covering Election Day 2020, January 6, and the COVID story with limited resources. Coworkers were supportive, friendly, and talented journalists.</t>
  </si>
  <si>
    <t>Since relaunching, Newsy has made problematic hires, including individuals with questionable social media posts or minimal journalism experience. The company has not learned from its mistakes despite multiple relaunches over the last five years. Most employees are overworked, benefits were slimmed down in 2021, anchors are merely faces, and managers do not effectively manage. Internal politics have become nastier. Newsy no longer stands out, attempting to emulate others with purple graphics. The editorial direction has reverted to traditional journalism's bad habits, like 'getting both sides' and breathless live news coverage. Employees are uncertain about their standing with influential managers and are often sidelined or pigeonholed despite speaking up. During the relaunch, at least five directors were required to reapply for their existing jobs. Some reporters were automatically shifted to new teams, while others were told to move to Atlanta with little assistance or guarantees, or face termination. The company repeatedly makes the same mistakes.</t>
  </si>
  <si>
    <t>Opportunity to work with motivated students.</t>
  </si>
  <si>
    <t>Hours are not very flexible.</t>
  </si>
  <si>
    <t>Company is pushing for growth, top leadership transparency, same-level coworkers are nice and helpful, and remote working is available.</t>
  </si>
  <si>
    <t>Very heavy workloads, poor program management, low pay for hours worked, zero work-life balance, and little room for advancement. Clients can be abusive towards employees with little to no correction from program leadership. Benefits are not very good and expensive. Training is poor on all levels. Program leadership is selfish, manipulative, and demotivating. There are too many trackers. The company is badly understaffed, making vacations impossible as you return to an even worse situation due to lack of coverage.</t>
  </si>
  <si>
    <t>I am proud of all the experiences gained from the company, which will surely be useful in all aspects of my career.</t>
  </si>
  <si>
    <t>My efforts were never good enough for the owners, who were overly perfectionistic. While they wanted their business to thrive, their leadership style was micromanaging and lacked trust in their employees. It was not a pleasant experience because our best was never considered enough.</t>
  </si>
  <si>
    <t>The company truly cares about providing access to tools and programs for self-development. It offered a flexible work-from-home schedule pre-COVID (this may have changed).</t>
  </si>
  <si>
    <t>Once acquired, there were mandatory daily morning calls focused on selling insurance, which did not apply to the role. Parking was sometimes challenging, there was constant construction, and compensation was an issue.</t>
  </si>
  <si>
    <t>It was a paycheck, and employees were paid on time. There was some flexibility to work from home during COVID-19.</t>
  </si>
  <si>
    <t>Lack of leadership. Management is a joke.</t>
  </si>
  <si>
    <t>Good work-life balance, nice coworkers, and opportunities for proposal work.</t>
  </si>
  <si>
    <t>The company tends to forget about employees not in the main office. They promise opportunities to try new areas, but once your skills are identified, you become stuck. There is little chance for growth if you are not in the main office.</t>
  </si>
  <si>
    <t>Some great people work here, with an elite few earning a very comfortable living at a young age.</t>
  </si>
  <si>
    <t>The biggest problem is the unachievable target of 10 calls per day; the sales floor average is 5, resulting in an average commission percentage of 5%, which is far below the industry standard. My commission was 1%. This means you can sell extensively, but if you don't follow their rules, they pocket the money, and you get paid nothing. Secondly, it's a revolving door with high turnover. The one-week notice period for all employees indicates a lack of care from the company.</t>
  </si>
  <si>
    <t>No work-life balance. Promotions are granted based on flattery, not merit. Salaries are pathetic.</t>
  </si>
  <si>
    <t>Great training and support system.</t>
  </si>
  <si>
    <t>Very poor compensation plan for a big company.</t>
  </si>
  <si>
    <t>1Path is a good place to gain quick experience. Employees are quickly immersed and learn to administer many systems, with ample assistance from senior positions. The company also paid for certificates, testing materials, and study courses. Overall, it was a good place to work for a certain period.</t>
  </si>
  <si>
    <t>The company is cheap. Every year, insurance costs increased while benefits decreased. Promotions and salaries were poorly handled; during COVID, promotions, merits, and bonuses were frozen. Despite being told 'cash is king,' the client base increased with huge clients, and new people were hired. Regardless of performance, promotions were capped at 10%, even for top-tier workers who covered on-call shifts or handled multiple projects. Expectations were unrealistic; if you showed effort, work would be piled on you, leading to burnout while others with lower numbers did less. A manager once berated me for not taking on a project, then dismissed it as 'just a joke' when I explained my workload.</t>
  </si>
  <si>
    <t>I love working with customers, sharing my knowledge, and helping them understand important aspects of choosing specific lights, ensuring proper size, style, and function.</t>
  </si>
  <si>
    <t>Unfortunately, there was a store closure, which was surprising given what I thought was fairly good profit. I was also surprised by my own success in my first sales job.</t>
  </si>
  <si>
    <t>Working with really good people.</t>
  </si>
  <si>
    <t>It is not a well-run company.</t>
  </si>
  <si>
    <t>Great company with many good people and a friendly atmosphere. It's a great place to begin your career, offering good entry-level positions, pay, and benefits.</t>
  </si>
  <si>
    <t>Poor communication from mid-level management. There is a lack of trust in mid-level management. It takes too long to make sound decisions, and there are too many meetings.</t>
  </si>
  <si>
    <t>Very flexible schedules, diversity in the workplace, and a great atmosphere.</t>
  </si>
  <si>
    <t>The pay did not equal the workload. Management did not always allow growth and some managers had favorite employees.</t>
  </si>
  <si>
    <t>Good stable income, employee stock options at the four-year mark, and a super fun people and work environment.</t>
  </si>
  <si>
    <t>No work-life balance, zero weekends off, and work every major holiday. You can make several times more money selling other vehicle brands. Friends selling other car brands earn much more than Tesla Owner Advisors and work fewer hours.</t>
  </si>
  <si>
    <t>Bad place to work; people come and go due to the toxicity of managers and team leaders who are self-important and blame others for their own mistakes. Team leaders steal suggestions and ideas, claiming them as their own. It's a low-paid job for the work required. Five-star reviews are fake accounts.</t>
  </si>
  <si>
    <t>People on the team were generally friendly, though there were some extremely unpleasant personalities.</t>
  </si>
  <si>
    <t>You will not get assignments or demanding clients if the team dislikes you. Communication is not transparent when the Munck Wilson Mandala team is involved. Despite hard work, there is no appreciation from management, only blame or accusations. These were the most disappointing years of my career.</t>
  </si>
  <si>
    <t>The company enjoys fun activities like Halloween dress-up and potlucks (pre-COVID-19). Adaptation to COVID-19 lockdown was smoother than many larger companies, with many transitioning to WFH. You can learn about the industry from a non-siloed role, though this means doing work that should be distributed among multiple people. Benefits are affordable and decent, allowing specialist visits without much insurance fuss. Direct deposit is available.</t>
  </si>
  <si>
    <t>Very limited career progression; a role must be vacated for someone else to be considered. There is a long waiting period before making progress. Long hours, long days, and excessive micromanagement. The environment was not cohesive.</t>
  </si>
  <si>
    <t>Close-knit group that paid well.</t>
  </si>
  <si>
    <t>Work from home (COVID-related).</t>
  </si>
  <si>
    <t>Benefits are extremely expensive. The company does not want to pay employees what they are worth. Management is horrible, and they do not work with employees if issues arise, instead firing or demoting them without warning. Management is extremely fake. There are unrealistic expectations for the amount of pay, and overtime is not paid.</t>
  </si>
  <si>
    <t>I loved my job, but hated my bosses. They are vicious, backstabbing, lying women who will throw you under the bus to make themselves look better and write you up for following their instructions to save face with the customer.</t>
  </si>
  <si>
    <t>No loyalty to hard-working employees. I worked there for 2.5 years and was laid off despite hundreds of similar jobs I could have been moved to. The layoff was due to the big boss not liking me, not productivity, which was well above metrics; it was a popularity contest.</t>
  </si>
  <si>
    <t>Fixed salary slightly higher than elsewhere.</t>
  </si>
  <si>
    <t>No profit-sharing or incentive bonuses for 3 years. Non-existent management, more interested in results than employee well-being or actual customer satisfaction.</t>
  </si>
  <si>
    <t>Very nice people to work with.</t>
  </si>
  <si>
    <t>The codebase is too legacy and broken. The general mood is a bit too corporate.</t>
  </si>
  <si>
    <t>Good company culture, compensation, and benefits.</t>
  </si>
  <si>
    <t>The performance management system has a forced distribution of ratings. Many managers are not held accountable for coaching and developing team members.</t>
  </si>
  <si>
    <t>People are great, and benefits are excellent. It offers a learning and growing experience. Lillian Maliahas was an excellent and intelligent supervisor.</t>
  </si>
  <si>
    <t>Learning opportunities, benefits, and exposure to multiple cultures and geographies.</t>
  </si>
  <si>
    <t>Teleperformance is a great platform to work.</t>
  </si>
  <si>
    <t>Work-life balance is good.</t>
  </si>
  <si>
    <t>Salary may be a concern.</t>
  </si>
  <si>
    <t>Some people do not know how to be team players or realize they are part of a team that needs to succeed together.</t>
  </si>
  <si>
    <t>Some of the people there are really nice.</t>
  </si>
  <si>
    <t>Management, environment, expectations, stress, and lack of empathy for employees' mental health are issues.</t>
  </si>
  <si>
    <t>Great people to work with, and most areas are fun.</t>
  </si>
  <si>
    <t>Workloads are not evenly balanced, and there is much duplication.</t>
  </si>
  <si>
    <t>Lots of opportunities, the company cares about its people and culture, and there are many resources available for consultation.</t>
  </si>
  <si>
    <t>Frequent restructures lead to a loss of corporate knowledge and intelligence, forcing a restart from square one. In projects, there's a strong focus on meeting deadlines no matter what, but a lack of structured approach with proven techniques, sometimes favoring a 'whatever it takes' attitude over a measured approach.</t>
  </si>
  <si>
    <t>Benefits are probably the only pro.</t>
  </si>
  <si>
    <t>Rotating schedules, no downtime, open 24/7/365, and low pay for the amount of work.</t>
  </si>
  <si>
    <t>The benefit package is great. There are many hardworking and skilled people who work there. You meet all kinds of people from every walk of life.</t>
  </si>
  <si>
    <t>The bank is becoming a retail store, more concerned with sales goals than its customers. They disregard forcing old accounts into new ones by changing maintenance qualifications. Banking hours are unrealistic, as processing closes at 4 p.m., leaving workers little time for work-life balance. Sales goals are unrealistic; not all products suit everyone. For example, an 82-year-old customer who prefers in-person banking and has no internet knowledge will not use online banking, and it makes no sense to pressure them. If you don't meet prior week's goals, expect an extra early meeting to explain why, followed by a full shift. Retail and banking are different; customers don't need so many accounts. Wells Fargo has removed the joy of going to work with a smile, leading to daily overwork, stress, and job insecurity.</t>
  </si>
  <si>
    <t>Job security, career growth, and team-involved work.</t>
  </si>
  <si>
    <t>Long hours, limited paid time off, and intense labor.</t>
  </si>
  <si>
    <t>Decent atmosphere.</t>
  </si>
  <si>
    <t>Money is too low to live.</t>
  </si>
  <si>
    <t>Great people, meaningful projects, and the ability to learn new skills.</t>
  </si>
  <si>
    <t>Very long hours and not much formal training.</t>
  </si>
  <si>
    <t>Some of the most emotionally unintelligent people I have ever experienced. While I am very familiar with Agile environments, having a boss incapable of articulating goals without losing emotional disposition is unfortunately a norm here, even in the late 2000s.</t>
  </si>
  <si>
    <t>Not difficult unless you're getting rushed. Employee discount. Nice co-workers.</t>
  </si>
  <si>
    <t>Low pay. Gets pretty boring at times.</t>
  </si>
  <si>
    <t>Great people, who are smart, friendly, and helpful. Great flexibility and work-life balance.</t>
  </si>
  <si>
    <t>Does not appreciate its staff. Poor remuneration and career progression. Poor management of projects.</t>
  </si>
  <si>
    <t>Work/family friendly schedule, great benefits, great pay, generally good people to work with.</t>
  </si>
  <si>
    <t>Overwhelming number of meetings to discuss other meetings about the process by which to proceed with other meetings. Very little real "desk-time" to get anything done. Volatile E&amp;P business doesn't add to long-term hope for a job.</t>
  </si>
  <si>
    <t>Long work hours and disorganization.</t>
  </si>
  <si>
    <t>Integrity, training, inspiring leaders, technology, on-the-job training.</t>
  </si>
  <si>
    <t>Many acquisitions and as a consequence, an imbalance of employee numbers. Different cultures at the same time. Matrix structure, long decision processes.</t>
  </si>
  <si>
    <t>No pros unless you like working intense, elongated hours with minuscule yearly raises, being given full-time responsibilities at part-time pay.</t>
  </si>
  <si>
    <t>Safety comes last. Employees worked past exhaustion. Not OSHA compliant. Favoritism amongst employees to management. Union is bought out. Insanely extensive hours (mandatory, no notification 24 hours in advance).</t>
  </si>
  <si>
    <t>You feel cool wearing a Tesla logo.</t>
  </si>
  <si>
    <t>Working at Tesla was a nightmare; the stress was insurmountable. It was a chaotic, hostile environment. Every quarter they were changing our compensation or job requirements. A lot of things didn't seem legal as it pertained to how they were changing things. The most incompetent employees were promoted, especially to director. This then had a domino effect on the rest of the employees. Most of the time, no one knew what was going on, and the worst part of it was how the customers were being handled with gross neglect. As a female employee, it was very apparent that women were not respected in the workplace and were not given the same opportunities as their male counterparts. Overall, Tesla seems like a cool company that's trying to change the world, but the reality is it is a giant, chaotic mess. One bad decision after another.</t>
  </si>
  <si>
    <t>They will give you a big hike and then cannot onboard you. Two days before joining, they usually say they cannot afford you. Before that, they will ask for all documents, resignation acceptance emails, etc. The HR department is full of uneducated and fake people.</t>
  </si>
  <si>
    <t>No matter how hard you work, if you're not one of the "chosen ones," you probably will not get the training needed to advance. To me, it seemed corrupt, far too competitive, and strategically controlled to benefit very few carefully chosen individuals. Many others were unhappy but wouldn't dare say so for fear of retaliation, despite the "most ethical company" reputation they have somehow "earned."</t>
  </si>
  <si>
    <t>Good number of clients, hence they ensure no employee stays on the bench for long.</t>
  </si>
  <si>
    <t>Shifting from one project to another becomes tough at times.</t>
  </si>
  <si>
    <t>The company offers great benefits and scheduling.</t>
  </si>
  <si>
    <t>Even if you are considered a good employee, you could be laid off due to the irresponsible spending of Tesla.</t>
  </si>
  <si>
    <t>The culture can be toxic. Management plays favorites, and if you‚Äôre on the wrong side of those favorites, good luck. Favoritism has nothing to do with merit. Working harder will not help. They think you should feel lucky to work there instead of the company feeling lucky to have talented employees. We learned that everyone is expendable and they don‚Äôt actually care about their employees. I left on my own; I was not let go.</t>
  </si>
  <si>
    <t>Paid sick time, easygoing management.</t>
  </si>
  <si>
    <t>Excellent pay, healthcare, and benefits to US standard.</t>
  </si>
  <si>
    <t>Culture is disjointed after being built through global acquisition. Limited communication between TMT and the organization, plus no clearly articulated internal values (only external brand promise of "excellence") means no guiding principles for management across a global organization. Identity politics are quite standard, but after 1.5 years of leadership changes and key personnel changes (some of which may not have been for the better), it will be interesting to see how this company evolves.</t>
  </si>
  <si>
    <t>Work-life balance is decent.</t>
  </si>
  <si>
    <t>The people. I managed to meet some amazing people (who have now all left!) and we are still friends.</t>
  </si>
  <si>
    <t>A normal day in my job at XLN would start with management screaming at you to get at least 25 card machines working when yesterday the sales team only managed to sell 5. Where they expected us to pluck the other 20 from, I don't know. We would then work very hard to get 5 or sometimes even magically get up to 7 from last-minute deals. Then the manager would throw their phone across the office in a tantrum. Managers were also seen to stomp feet, bash computer mice against their table, and order very expensive perfume/jewelry to the office just to show everybody what they bought. On several occasions, managers were heard telling staff members that "they did not understand" (that 20 card machines had to be 'made live') because English was not their first language, and they should be "grateful this country accepted you." Along with this came promises of raises which never materialized and bogus incentives, e.g., "Sell 5 items and you get to go home early" (this email would be sent at about 5:30 pm). We would also be made to feel guilty if we left on time and did not come in early. My brief 6-month stint at XLN has given me and my therapist a lot to get through.</t>
  </si>
  <si>
    <t>Hostile environment. Unsafe work practices. Violations of regulations and procedures at every level. Falsifying of results and records. A thorough audit by a client will find that the "flagship" lab will give you results on instruments they don‚Äôt possess. They will strong-arm you to comply with their unethical practices. I received very poor training, and most tests everyone would just write down a result and say "that it‚Äôs going to be." It wasn‚Äôt until I went to a competitor that I saw how little training I had and how disgustingly unethical Camin Cargo was/is.</t>
  </si>
  <si>
    <t>Competitive salary, unlimited PTO, fantastic working environment.</t>
  </si>
  <si>
    <t>Private equity running media always leads to sudden layoffs. I was one of almost 30 that was culled out of nowhere, a couple months after they shuttered another magazine. They acquired a new magazine on the same day of the massive layoffs. Feels like a game of fiscal hot potato. Take the job, cash the check, and gain the experience, but don't expect security, especially after the company gets a massive buy-in and they need to "streamline" to look good to investors.</t>
  </si>
  <si>
    <t>Some of the best people I've ever worked with. Everyone cares about their work and always strives to improve processes and share learnings. The team is highly collaborative, talented, and always willing to listen. There is a great sense of teamwork even after moving to remote work. There is an opportunity to grow and explore new roles if you voice your interest. Management is very supportive and does its best to ensure you continue to grow your career. I've seen many older reviews about bad management and micromanaging, but the investment into management the past couple years has turned it all around. There are incredible, hard-working, and smart managers who truly care about individuals on their team. Every company has rough patches, and Eventmobi certainly has had some, but if you give feedback, there are always people ready to discuss and work with you to solve the problem.</t>
  </si>
  <si>
    <t>Things move quickly, and you need to be able to adapt. It can be good but might not be for everyone. Difficulties growing with legacy tech. This has gotten better during my time here, but it can lead to some barriers and compromises with the product.</t>
  </si>
  <si>
    <t>Working on the latest and greatest tech stack. Plenty of opportunities to learn new things. Best team culture to work with. Big company giving you the opportunity to move around different teams from time to time, helping you take on different challenges and grow. Best work-life balance. Opportunity to pursue different career paths if you are interested.</t>
  </si>
  <si>
    <t>Decent but not great salary package. Too many layers of processes which sometimes gives you limited freedom, but CBA, being a top-tier bank, needs to have such processes which can safeguard us and customers against damages.</t>
  </si>
  <si>
    <t>Only interested in promoting those under 50. Promotions are not regularly based on merit. Outsourcing or eliminating many jobs for experienced workers. Extremely interested in millennial customers and employees only.</t>
  </si>
  <si>
    <t>1. Lots of resources: computing, educational, culinary, locational, people, financial, etc. You get paid pretty well, even as a SWE or EP intern. 2. Lots of high-quality technical infrastructure that you will gasp at if you've spent enough time developing on standard/enterprise software. 3. High-quality technical process and an appreciation for best practices. 4. Amazing networking opportunities. Google interns come from and end up all over the place, so being an intern is a great opportunity to meet lots of different people.</t>
  </si>
  <si>
    <t>1. Lack of real respect for individuals. This is a symptom of Google being a large company with incredible scope to pick and choose people, along with having many excellent people. You are treated well at the surface level because you were able to get through the interviews and meet the obligatory standards, but you are not treated as an individual outside of your team's breadth. In addition, while you don't see rank explicitly pulled very often, the company is very top-down in policy and culture. This is common in large companies across the world. It's certainly easier to ignore at Google than other places, and you are pampered in a number of ways. If you want that sort of gritty individual respect from the organization, work at a small company. 2. Intern-specific: for full-time conversion, interviews can overshadow contributions to individual host teams. Interns are often left with the decision of maximizing their acquisition of gainful skills and their contributions to the company, or passing up on an opportunity for full-time employment at Google. Interview skills in tech are, at higher levels, focused on things that may not be application-specific for the intern's project, even if they are working on something of significant business value. This is backwards; I can count on one hand the number of tech companies I've heard of that still do this.</t>
  </si>
  <si>
    <t>Reasonable work-life balance; no expectation of weekends or evening work. Plenty of VPs/Ds who do very little if that's what you want.</t>
  </si>
  <si>
    <t>I have never worked anywhere where so many PowerPoint slides can result in so few actual decisions. Systems are unfit for purpose. Obsession with top-down planning and 'messaging' to senior management. Focus on 'getting stuff done' so the right message can be given to senior management, with little regard to 'getting it right'. Prevailing blame culture means middle management spends more time avoiding responsibility than actually adding value. Bizarre role-based promotion process effectively blocks progression until your boss leaves, and leads to large numbers of AVPs applying internally for VP roles they have no qualifications for.</t>
  </si>
  <si>
    <t>Lost the core respect for the "People Element" they used to espouse so much. They throw away skilled people like used diapers just to save a few dollars that are then funneled to yet another empty suit VP.</t>
  </si>
  <si>
    <t>Made some great friends. Starting salary is okay if you ask for it, depending on the department. Somewhat flexible. Mostly easygoing with mistakes. Okay to gain some experience for a year or two but then move on; the role does not lead anywhere.</t>
  </si>
  <si>
    <t>Pay increase is minimal/non-existent. Promotions usually lead to termination/being forced out. Benefits are not great; no RRSP/Pension/Vision/etc. Some people have better benefits than others. Too many cooks in the kitchen; 3 owners and about 10 managers/VPs/leads to manage 25 product creators. Process is way too complicated for the scale and type of business. Too many ongoing projects and no organization to help manage; insane workload, even for the fashion industry. Toxic environment, no transparency, gossiping starts from management and trickles down. Teams throw each other under the bus. Some sales people scream/swear/slam doors/send rude emails. One woman micromanages and harasses junior staff like crazy, and owners are aware but do not take action. Office stayed open for most of the pandemic; WFH meant a 50% salary cut. Not an equal opportunity employer. Favoritism and opinions based on appearance, ethnicity, religious groups, etc. Has treated some pregnant women very unfairly.</t>
  </si>
  <si>
    <t>Nice people, low pressure. Great pension and work-life balance.</t>
  </si>
  <si>
    <t>Too heavy with non-technical people. Some very low-caliber people who know how to pass civil service interviews rather than know how to do their job.</t>
  </si>
  <si>
    <t>Great work-life balance. Flexible work arrangements and a great way to advance your career.</t>
  </si>
  <si>
    <t>Lack of direction from senior leadership.</t>
  </si>
  <si>
    <t>They are a well-established clinic system, so your job will always be secure.</t>
  </si>
  <si>
    <t>They don‚Äôt have a lot of opportunities for growth.</t>
  </si>
  <si>
    <t>Caf√© and canteen social spaces, subsidized food and drink. Nice teammates and big main office with lots of natural light. Campus convenience.</t>
  </si>
  <si>
    <t>Projects working with unethical clients and countries with poor human rights records for company and partner profits. Variety of projects can feel repetitive. Partners make decisions and show little care for less senior staff. Little remote working flexibility.</t>
  </si>
  <si>
    <t>Higher pay than any other district in the state (besides perhaps Park City). Low expectations. Teacher's union fights for you.</t>
  </si>
  <si>
    <t>Will most likely teach in some of the roughest neighborhoods. Bad behavior (fighting, drugs, etc.). High gang violence. Too many outside-of-school hours required.</t>
  </si>
  <si>
    <t>Good environment and support.</t>
  </si>
  <si>
    <t>Not great money, cannot progress if part-time.</t>
  </si>
  <si>
    <t>Employees work here because they care and want to work hard. There‚Äôs a reason Agrace has a solid reputation, and it‚Äôs because of the hundreds of patient-facing employees who give so much of themselves.</t>
  </si>
  <si>
    <t>Patient-facing roles have little to no work-life balance, and those who attempt to establish work-life boundaries are generally punished and/or regarded as not being a team player. There are many performative aspects of this company in an attempt to pander to the masses around diversity and inclusivity, but this company is grossly out of touch with what that means.</t>
  </si>
  <si>
    <t>Great compensation. Great portfolio product suite. I love my coworkers.</t>
  </si>
  <si>
    <t>Management has no clue how to lead.</t>
  </si>
  <si>
    <t>Other than the laid-back office environment, not many pros come to mind if you don't already have a book of business when hired. You're competing daily against other office members for the same business accounts.</t>
  </si>
  <si>
    <t>Cold calls up to 200 a day, micromanaged by multiple upper management employees. Upper management does nothing to help gain business except for telling you to "hit the phones." Overall, I was lied to from the start of their 1-week training program.</t>
  </si>
  <si>
    <t>The county is overall a good and enjoyable place to work; my rating reflects what it's like working in IT. One positive note is there have been some strides in user education around security.</t>
  </si>
  <si>
    <t>The IT department is plagued by innumerable issues that are mostly self-inflicted. Number one is management, a team which has undergone a complete changeout over the last few years. One of the last competent managers, a calm voice of reason, retired early out of frustration with the new leadership. There's been a tonal shift in department culture. Morale is low, and the department's panicky management style encourages finger-pointing and contention among the staff. There are unclear standards around change management and how to work with other teams within the department that never get addressed. Everyone is on edge, and there are repeat offenders who will belittle and disparage other staff in meetings. They had a business psychologist come in a couple years ago to interview the staff in small groups. Feedback from the staff was almost unanimous, but it seemed like the doctor‚Äôs report and suggestions were thrown out since it was critical of the director and deputy director. The department is stuck in gridlock. There are a lot of half-baked processes, and then new processes and new committees to figure out why the processes aren‚Äôt working. Have a question? Your direct manager will either be unavailable or won‚Äôt know how to help you because they‚Äôre unsure of the direction the director wants them to take, or they‚Äôll point you to another manager who‚Äôs just as unconfident. County staff have become unhappy with IT and aren‚Äôt shy about sharing that with you when you work with them. I can‚Äôt blame them because it‚Äôs hard to get help or work just isn‚Äôt being done. There‚Äôs a process for what projects you‚Äôre supposed to work on, but management will quickly shoehorn a different #1 priority project/issue onto your plate, usually weekly, or anytime there‚Äôs a fire caused by their poor planning or some highly visible problem that makes the department look bad. Your head will be spinning trying to track your time in tickets, a time log, your Outlook calendar, and your time card (while making sure it‚Äôs properly coded to the right work order).</t>
  </si>
  <si>
    <t>Everything: micromanagement, bad work-life balance, no shift allowance, no leave encashment, no smooth existing process. Variable payment always delayed. No standard process for employees and HR. Employee policy changes overnight as per company convenience. Only active on LinkedIn.</t>
  </si>
  <si>
    <t>Great people that deserved better.</t>
  </si>
  <si>
    <t>What kind of real estate company shuts its doors in the middle of the greatest real estate market boom of all time? One that is led by incompetent leaders. REX failed because of the incompetence and arrogance of its CEO. He listened to the advice of people who knew nothing about real estate. Those people single-handedly began the destruction of REX with their ill-informed ideas, which included the disastrous concept of "whole REX." The CEO didn't listen to the right people. He didn't listen to the agents that worked in the field. He often said REX is a tech company, not a real estate company. A tech company whose website was a joke and whose app never worked properly. He failed this company but most importantly failed the good men and women who worked for REX. On Friday, REX laid off the majority of the remaining staff with no severance pay. A slap in the face with no disregard for their livelihoods. FAIL! The CEO had the nerve to dangle a carrot of a possible IPO. Lies.</t>
  </si>
  <si>
    <t>Very negative work environment.</t>
  </si>
  <si>
    <t>Pay is good. Some people seem to care. Benefits are okay.</t>
  </si>
  <si>
    <t>It's hard to pinpoint how bad things are with dysfunction across every level. Ineptitude thrives at an already sinking company. In the absence of technology, processes, and any form of standards, they solely rely on heroics. Unless you are a banner-level client, you'll get little attention or support. A lack of upward mobility (unless you are skilled at pandering to C-suite), preferential treatment, and unheralded promotions at the whims of management. Unfathomable amounts of broken promises and platform flaws with the only explanation, if you can call it that, from management is a cop-out like "things are tough" or some other tired clich√©. Management is either so invested in creating and selling a fa√ßade that things aren't bad, broken, or failing (we're a happy family, they say!) that they actually believe it, or more alarmingly, don't see the reality. Tech is broken or unstable, competitors are seizing market share and new logos, turnover across departments is crippling, and morale just sinks lower. Yet upper management will force a smile and say "things are fine" with better fortunes just around the corner. How long you believe the latter part is what you'll wrestle with before seeing the only logical choice, which is to exit a company decaying from the inside.</t>
  </si>
  <si>
    <t>Great group of employees (which is honestly the main reason a lot of people stay). Good benefits, great pro-deal access.</t>
  </si>
  <si>
    <t>Management seems really cool and understanding at first, but they have their favorites, and it shows. If you're not one of the chosen ones, you'll know it too. They say feedback is always welcome and it's a "gift" and "not personal"; however, they will use it against you when it suits them.</t>
  </si>
  <si>
    <t>You get a job easily here.</t>
  </si>
  <si>
    <t>1. They micromanage excessively. You are questioned if you are idle from CRM for even a single minute. 2. They deduct half-day salary if metrics are not met on a daily basis. The manager doesn't even approve attendance if metrics are not met, and you will be marked absent. 3. No consideration for you as a resource. They think you are robots who can work 24/7. All they care about is your revenue. 4. Your job is safe until the day you are getting revenue. Once that stops, you are fired. I have seen top performers of one quarter getting fired in the next one as their revenue dried up. In short, there is no consideration for your past contributions. All they care for is how much revenue you are getting today. 5. Even the CEO and other founders only talk about revenue figures in the organization-wide town halls. 6. You may have to work all 7 days of the week at times, and if you luckily get 1 day off, you will be pressurized to get more revenue on DMs on your day off. 7. The HR in the organization is just there to hire and fire people. They don't believe in building a good culture.</t>
  </si>
  <si>
    <t>Compensation is above market (the only pro).</t>
  </si>
  <si>
    <t>CEO is obnoxious and loves to hear the sound of her own voice. Most toxic work environment I have ever experienced. Laid off 30% of the workforce in June and are now hiring again.</t>
  </si>
  <si>
    <t>Red carpet treatment during training, company trips, and parties. Generally, the staff in the office seem very nice.</t>
  </si>
  <si>
    <t>Many undelivered promises from top-down to employees and customers. Sometimes it seems like a blatant lie. Inconsistent with commission pay and ability to track. Danny and Jack are narcissistic liars. At company parties, the CEO has ridiculous requests and almost always crosses the line. Some staff don't understand personal space or the idea of what professionalism is. Lots of sexist and racist comments thrown around; it's surprising how they get away with it.</t>
  </si>
  <si>
    <t>The people I worked with were great.</t>
  </si>
  <si>
    <t>The people I worked for were bullies and awful.</t>
  </si>
  <si>
    <t>High turnover, condescending owner who views employees in a very poor light. I personally witnessed an employee being badgered until tears were produced. The owner took pride in breaking this individual's spirit, which was very sad. Horrible management; no organization; just not a good place to work.</t>
  </si>
  <si>
    <t>The opportunity for advancement in the company.</t>
  </si>
  <si>
    <t>Upper management chooses those who get promoted based on who they like, not experience or achievements. Everything is extremely disorganized. Upper management has too much power, which goes unchecked, allowing employees to be treated unfairly.</t>
  </si>
  <si>
    <t>I worked for Fahlgren Mortine for about 1.5 years, and it was an exceptional experience. There are many talented people that I was able to work alongside and learn from. Management is open to receiving feedback, supportive, and creative. The teams approach new projects with fresh ideas, making it exciting to be involved and, in turn, being proud to be a part of the team. There are many opportunities to get to know other team members (across a large company) because they are sure to do monthly activities, and they did a great job boosting company morale even during a pandemic!</t>
  </si>
  <si>
    <t>Connecting with new people, discount, great health insurance.</t>
  </si>
  <si>
    <t>It took nearly my entire time with the company (+3 years) to realize that the poor, unfair, and unethical treatment of people, myself included, is part of what led to my incredibly high stress levels that then led to an autoimmune diagnosis and the obvious need for the health insurance they provided (which we pay for, it is not paid for by the company). It makes better sense to put my mental health first, which means leaving the company, and then theoretically there is less of a desperate need and want for great health insurance. They thrive on knowing that people mainly choose to stay after all the injustice just for the health insurance. They thrive on keeping people unwell. Scott Nash gives power away to the most mediocre people, and they take the power to their head and absolutely hold it over other people. Scott Nash cares about profit over people and planet. His greed for money and power is evident as the company continues to grow while staffing becomes less and less. I have met few really great people here, and they either quit or get fired unfairly, or are threatened off the clock so nothing can be done about it with HR. "If you can't beat them, join them" only works if you have numbers because there is power in numbers. Do not think for a single second that you alone will change anything about how this place is run from the top down. To begin, the company needs a new owner, and nearly all of management (lower and upper) needs to be replaced. That won't happen. Management is literally the worst I've ever experienced, and this comes from someone who has worked in and with the public for greater than 12 years in a variety of retail spaces. The mediocrity of people they put in management will leave you laughing because it is very much a joke. Managers who bully, harass, or are totally absent-minded. Brainless. Heartless. Lacking compassion. Self-serving. Ego addicts. Drug and sex addicts, while on the clock! Managers who work in pajamas and rags for clothes, people who downright smell foul and need to shower; what a way to set an example of self-respect, but yet they expect us to respect them. Management does not live up to, nor do they set good examples for, the company values. All that while being encouraged to speak your truth, and you dare risk your job if you do! Only expect HR to protect your job if it is convenient for them to do so. Otherwise, expect to get fired. The company knowingly employs thieves and sexual predators, harassers, and offenders, and less and less cares about the employees at the bottom level, which is evident given the lack of security cameras, because the owner Scott does not believe in using them. So basically, you work at your own risk of being thieved from or worse, sexually, emotionally, and psychologically abused. So much abuse of power. So much abuse against humanity. It's literally the same stuff you see in the media but on a smaller scale and at a local level. Not a "green" job for you if you truly care about the environment; it will only make you mad and stress you out to be so exposed to people who actually do not care, workers and customers both. I didn't even mention the amount of financial waste that happens here, mostly due to pure human error, yet you are told there is no money for wage increases (but yet they keep opening new stores with little to no team to even recruit). It doesn't matter if you have a family to support or if you are single-handedly keeping plastic bags from becoming trash by turning them into new, repurposed goods. It's not worth sacrificing your mental health. If you truly care about the environment, work for a different company. It's easier to know from the start you are working with people who openly don't care versus working with people who pretend to when it's convenient for them. MOM's is the most dishonest place I have ever and will ever be employed.</t>
  </si>
  <si>
    <t>Nice co-workers within my dev team; others at my level were happy to take time to acclimate me to tools and software, sharing of knowledge.</t>
  </si>
  <si>
    <t>Everything else. Onboarding was an onslaught; management was pushing hard for releases of many features at once versus focusing more than one dev on a feature at a time. As a Junior, I was told to ask lots of questions and lean into any process or learning, which we all did, and that would be enough. I kept meeting with managers to get feedback but basically got "do better." Eventually, my manager stepped down, so the team was disorganized at the end. I was let go in the first wave of cuts they did; the explanation was that I did not have enough technical knowledge to work there. But I had asked for help and direction for over 3 months and passed their technical exam during interviews no problem. Underpaid for the role per average rates, benefit package was below average, no long-term benefits (RRSP matching, etc.); instead, there is a stock option plan that you receive over a 4-year period at a time.</t>
  </si>
  <si>
    <t>None, meaningless work for money-hungry people.</t>
  </si>
  <si>
    <t>Avoid working for this company; the culture is poisonous.</t>
  </si>
  <si>
    <t>High salary, startup experience, and support for self-learning.</t>
  </si>
  <si>
    <t>Time scheduling, work hierarchy management.</t>
  </si>
  <si>
    <t>Team members are great.</t>
  </si>
  <si>
    <t>The CEO is a nightmare, paranoid about trade secrets and employees not working hard enough, despite never arriving before 11 AM. The environment is beyond toxic; leaving felt like escaping an abusive relationship. The CEO overpays because it's the only way employees stay. There is no process or rationale for decisions, leading to no accountability. Favoritism among employees is real and changes with the CEO's mood. Avoid working here.</t>
  </si>
  <si>
    <t>Office premises (SDB1 and SDB2) are nice. The canteen is good, and snacks are better than meals.</t>
  </si>
  <si>
    <t>I worked at Birlasoft for two years due to a bond. As a fresher, I had no idea what project or technology I would get and was excited to code, but they had no good development projects. I was assigned to a maintenance project with shifts and non-technical work. The manager was unprofessional. HR was unhelpful, and senior colleagues did not listen. My notice period was three months, and HR initially denied serving notice and bond together, but I later learned it was possible. I eventually left without a job during COVID-19 but fortunately found a much better one. My friends are still stuck in ticket allocation and monitoring work.</t>
  </si>
  <si>
    <t>Favoritism and sexual harassment are rampant. Bonuses are never followed through. As a former employee, I was promised a $500 bonus for staying until September 1st. I was let go on September 5th and denied the bonus because I was not employed on the payout date. Multiple attempts to contact HR via voicemails were never returned.</t>
  </si>
  <si>
    <t>Industry leader, opportunity to build long-term relationships with dealers and customers, global career opportunities, developmental opportunities.</t>
  </si>
  <si>
    <t>Very conservative culture; creativity and risk-taking are not valued.</t>
  </si>
  <si>
    <t>Great office activities to build culture, good coworkers, helpful CPEs.</t>
  </si>
  <si>
    <t>Poor management, too many people working with seven or more managers.</t>
  </si>
  <si>
    <t>40% discount, 25% friends and family vouchers, nice office.</t>
  </si>
  <si>
    <t>Toxic and bullying culture, very corporate. Micromanaging, staff members try to belittle you. Cliquey vibe. High staff turnover.</t>
  </si>
  <si>
    <t>Pay is good. Rank-and-file people are more pleasant than the industry norm. Work-life balance is fine.</t>
  </si>
  <si>
    <t>Engineers generally have a lower status at Mailchimp, possibly by design. Advancement depends more on pleasing others than job insight. Many current technical leaders, while good at bootstrapping a small company, are not suited for technical leadership at Mailchimp's current size. Humility, a cited core value, is not honored in practice.</t>
  </si>
  <si>
    <t>The office environment is good.</t>
  </si>
  <si>
    <t>Always working overtime, low salary.</t>
  </si>
  <si>
    <t>Overall, responsive and good relationship building. Individual management personnel are personable and caring. Professional. Room for growth.</t>
  </si>
  <si>
    <t>Did not always follow through with commitments. Errors in PTO.</t>
  </si>
  <si>
    <t>Poor employee recognition. Senior leadership favors certain managers and discards others, seeking ways to terminate them or force them to quit. Archaic, disconnected computer/software systems. Understaffed IT department, so improvements are years away. Staff are blamed for uncontrollable errors. Performance reviews are unhelpful, lacking constructive information.</t>
  </si>
  <si>
    <t>Generally good people, decent salaries, never a dull moment.</t>
  </si>
  <si>
    <t>The culture shift appeared contrived rather than an organic or true reflection.</t>
  </si>
  <si>
    <t>Paychecks clear. Executive team buys drinks after work. Courtyard crew.</t>
  </si>
  <si>
    <t>CEO is inadequate. People of his stature are in short supply.</t>
  </si>
  <si>
    <t>Volunteers were wonderful, and the mission of serving others is meaningful.</t>
  </si>
  <si>
    <t>Poor leadership from the top, misuse of funds, inability to genuinely care for people, high turnover.</t>
  </si>
  <si>
    <t>Very unprofessional. HR is useless. Do not waste your time in this company.</t>
  </si>
  <si>
    <t>Great coworkers and team leads. Many fun company events and contests.</t>
  </si>
  <si>
    <t>The biggest issue at JFQ is the training department. Most trainers have little to no mortgage or general training experience. Senior processing training is minimal, focusing only on streamlines for one week. Once on the floor, employees are told not to ask questions and to Google before approaching a lead. Conventional and full-doc loans are assigned without warning or training, with leadership expecting no mistakes. There's a disconnect in senior training content, frustrating senior processing leads. Job security is poor due to high turnover; people leave unhappy or are fired without reason. Mass firings have occurred recently, yet the company claims no money issues. Pay is horrible and below industry average. Look elsewhere.</t>
  </si>
  <si>
    <t>Remote work. Small size allows for experimenting with accounts using personal theories/methods. Leaders try to care about employees. Not required to work weekends.</t>
  </si>
  <si>
    <t>Intolerance of employee mistakes. Insufficient benefits and career opportunities.</t>
  </si>
  <si>
    <t>The upper management family writes false positive reviews. This company is a dirty pyramid scheme. Employees are forced to attend insane cult conferences twice a year where the CEO engages in psychobabble for hours. They have zero respect for employees, and the turnover rate is insanely high. Employees are constantly yelled at and diminished by upper management. The company lacks taste and will likely fail within two years.</t>
  </si>
  <si>
    <t>The Fed offers many professional development programs, including ITIL certification for IT staff, even new helpdesk employees. All employees, including new and less-experienced ones, are included in meetings and communications, which is great for learning and identifying future specializations. Benefits are excellent from day one, including health insurance, retirement (401k and pension), and vacation (minimum 18 days to start).</t>
  </si>
  <si>
    <t>The Helpdesk is very regimented to ensure coverage, which can be excessive. Breaks and lunch schedules change daily. Overall hours can also change; I was moved from 7:30 AM-4:30 AM to 11:00 AM-7:00 PM after training, which was not what I agreed to. The business casual dress code was annoying, especially for helpdesk IT staff who do not interact with clients, unlike the Minneapolis Fed team who could dress casually. It seemed unnecessary for a non-typical bank with no daily customers.</t>
  </si>
  <si>
    <t>Wellness plans for pets, ability to make your own schedule.</t>
  </si>
  <si>
    <t>Managers are required to work in support roles (receptionist, assistant, or tech). LVTs may work in all support roles except veterinarian, which detracts from management focus. Manager hours count towards the maximum allowed staff hours. To remain profitable, staff are burned out by the high number of patients seen daily.</t>
  </si>
  <si>
    <t>Relaxed atmosphere, decent benefits, remote work, fun company doing cool things in the camping space, $500 annual camping credit for participating campgrounds, occasional downtown meetups in major hubs.</t>
  </si>
  <si>
    <t>Pay might seem high, but no bonuses are offered, and compensation increases are below the inflation rate. Management is young; some managers are clueless and too sensitive to feedback or coaching. Operationally, there is much to learn and figure out. Those needing good structure and supportive leadership may be disappointed.</t>
  </si>
  <si>
    <t>Ingram has some of the best employees who are dedicated and work to eliminate roadblocks within their scope of influence.</t>
  </si>
  <si>
    <t>Insights and recommendations from highly-skilled employees aiming to grow the business and increase internal efficiencies are bypassed due to politics and the empowerment of the wrong people. Competition between business units and a lack of VP interference against toxic behaviors like exclusion and elitism define the workplace culture, while experts are sidelined. Several employees perform tasks that would be multiple roles elsewhere and are not paid market value. Employees are also not allowed to move to better-suited roles if leadership prefers to keep them.</t>
  </si>
  <si>
    <t>Offers maximum possible salary. Once assigned to a client company, job security is good.</t>
  </si>
  <si>
    <t>If not assigned to a client project, you will be fired. In-house projects are mentioned during recruiting but are not real.</t>
  </si>
  <si>
    <t>It's extremely fun to work here, selling cupcakes. Stalwart Concepts works with a good brand and provides a fun and friendly environment. I had a good time and they helped me transfer to a similar office in Miami when I moved out of state. This is the place to be if you are in Tampa.</t>
  </si>
  <si>
    <t>The downside of performance-based jobs like Stalwart Concepts is quickly realizing how hard you are willing to work towards a goal. I was upset with my results but knew I wasn't giving my all. If you overcome personal challenges and find a rhythm, you can advance.</t>
  </si>
  <si>
    <t>Good job if you are interested in sales.</t>
  </si>
  <si>
    <t>Long hours, boring meetings, lots of travel.</t>
  </si>
  <si>
    <t>No concessions for employees who want to attend school.</t>
  </si>
  <si>
    <t>Worst leadership, with extreme micromanagement. Leadership is clueless and lacks business sense. Workplace bullying from senior leadership is common; colleagues and I have cried due to mistreatment. All departments work crazy hours, often due to management trying to please clients unnecessarily, rather than client demands. This is likely due to company greed, not paying for extra hours. The situation is so bad that employees have had mental breakdowns and taken sick leave. Conditions are worse for the US team, who commonly work past midnight. The company uses a contract clause stating "salary covers all time required to complete your job" to make people work like slaves. The unlimited leave policy is a hoax to lure talent; employees don't even have time for standard four weeks of annual leave. The company has forced employees to take long weekends to balance accumulated leave. No one has enjoyed this perk. High turnover; many team members have left in the last 2-2.5 years. Research and think twice before applying or accepting an offer at TimeZoneOne, unless it's a last resort.</t>
  </si>
  <si>
    <t>Very fun atmosphere, and most people are nice.</t>
  </si>
  <si>
    <t>They let me go after barely training me for a month.</t>
  </si>
  <si>
    <t>Amazing associates, great discounts on everything including the cafe, great work environment, consistently staying on top of trends, consistent long-term employment.</t>
  </si>
  <si>
    <t>Severe lack of pay and pay raises, even with experience. Benefits could be better. The company's handling of COVID closures was messy; short-term hires were fired, and full-time employees were expected to use vacation without additional pay.</t>
  </si>
  <si>
    <t>Paycheck.</t>
  </si>
  <si>
    <t>Worked with amazing people. Hard workers had opportunities for advancement. People are smart, fun, and productive.</t>
  </si>
  <si>
    <t>Extremely high turnover, especially in the management team; some of their best people were allowed to leave. Hardest workers were sometimes taken advantage of. Inter-departmental politics made it difficult to get things done. Harsh approach to worker retention. The HR team was backstabbing. Some managers were borderline sexist.</t>
  </si>
  <si>
    <t>Poor leadership, hostile working environment, insufficient personnel for training, exploitation of temporary workers, and lack of HR presence. I was gaslit, slandered, and abused almost daily. Coworkers gossiped about everyone, including me and our supervisor, within earshot. The supervisor was sarcastic and lacked critical communication skills. I worked closely with a sociopathic teenager entrusted with my training, who taught me the exact opposite of my duties, which management refuted. This likely ensured job security for her and others manipulating the situation. Working here is an uphill battle.</t>
  </si>
  <si>
    <t>The travel aspect was nice in the immediate short term.</t>
  </si>
  <si>
    <t>Pay is low, and raises are nonexistent. Employees work 60+ hours per week on salary with no overtime. Employees form cliques and are not friendly or welcoming.</t>
  </si>
  <si>
    <t>Breaks the law regarding pesticide application.</t>
  </si>
  <si>
    <t>Amazing LOS system. Great resources on the company intranet.</t>
  </si>
  <si>
    <t>You cannot work your loans because this place is a call center.</t>
  </si>
  <si>
    <t>Rooftop terrace events. CEO made nice gestures on holidays, offering pies and champagne.</t>
  </si>
  <si>
    <t>Strange company culture, individuals are undervalued, leadership is toxic and out of touch with reality.</t>
  </si>
  <si>
    <t>I was thankful for being accepted for the position when I desperately needed a job.</t>
  </si>
  <si>
    <t>What is told to potential recruits differs greatly from reality. The company is secretive and lacks transparency. It takes a long time to release claims and benefits to employees. I do not recommend applying here.</t>
  </si>
  <si>
    <t>Freedom to work with the latest technologies.</t>
  </si>
  <si>
    <t>Immature manager who does not care about employees, only focused on showing off to upper management.</t>
  </si>
  <si>
    <t>Benefits, health plan, and dress code.</t>
  </si>
  <si>
    <t>Work overload, low salary, completely unprepared leadership from the board to immediate managers.</t>
  </si>
  <si>
    <t>Nice teams, but bad management and inexperienced people.</t>
  </si>
  <si>
    <t>Confused management, lacking strategy. They promise "great culture" but it's a chop shop, and they hide things from staff and clients.</t>
  </si>
  <si>
    <t>Great pay compared to similar retailers.</t>
  </si>
  <si>
    <t>Too rigid corporate structures that did not help people take initiatives.</t>
  </si>
  <si>
    <t>Weekly pay, good commissions. Opportunity to meet many new people daily. ADT has great home security systems, allowing you to make an impact in someone's life.</t>
  </si>
  <si>
    <t>Door-to-door sales. Requires a specific type of person to excel beyond making a few sales.</t>
  </si>
  <si>
    <t>Talked a great show but never delivered.</t>
  </si>
  <si>
    <t>Will overwork you if you allow it.</t>
  </si>
  <si>
    <t>The mentality is to do no work and receive a substantial paycheck. Senior management spends all their time in meetings and does not notice. They will applaud you for "working hard." If you want an easy life, Muscle Food is for you.</t>
  </si>
  <si>
    <t>The senior management team lacks vision and experience with food. Unless the team is replaced, the company will remain a bargain basement for substandard food.</t>
  </si>
  <si>
    <t>Good team, good location.</t>
  </si>
  <si>
    <t>Senior management does not listen to employees; they do what they want and what they think is right. They are rude and disrespectful towards staff, treating them poorly.</t>
  </si>
  <si>
    <t>Hired me with no experience, providing exposure to cybersecurity. It was the only fun company; most SOC guys and developers arranged breaks to play video games or shoot pool.</t>
  </si>
  <si>
    <t>Atrocious pay; most coworkers, including my first boss of four years, had roommates. Starting pay is comparable to or slightly more than an In-N-Out employee. Novacoast's "tight-knit" culture is actually nepotism; most department members had prior relationships with the manager. If you're not into Reddit-type humor or gaming, you'll feel out of place. Most employees are students or recent graduates, as SOCs are built in college towns to exploit cheap student labor. High employee turnover: managers quit with their teams, or new hires leave after a month or two due to unsupportive shifts or being stuck alone on night shifts. The SOC constantly gets new customers, a dangerous formula for an undermanned, underpaid 24/7 staff. Novacoast exploits the continuous stream of students seeking cyber experience. After two years, I left, as have all my former department colleagues. Better pay is available elsewhere. Kansas or Michigan locations might be better due to lower cost of living.</t>
  </si>
  <si>
    <t>Working around animals is always a joy. Decent pay.</t>
  </si>
  <si>
    <t>Job description was inaccurate. I was put on a register without training. After quitting, I received my W-2 but not my final paychecks. They withheld my last paycheck, claiming they didn't have it, and I had to contact HR for a reprint.</t>
  </si>
  <si>
    <t>Good salary, providing a good training program for newbies to gaming.</t>
  </si>
  <si>
    <t>Stoke office is good, but avoid the Gibraltar office. The management team is a joke; they asked employees not to talk or say hello/goodbye to workmates in case of interruption. They questioned employees about toilet breaks and monitored internal chat history. There is no empathy for ill employees. It was a nightmare.</t>
  </si>
  <si>
    <t>Fast processing of job applications, likely due to high resignation rates creating vacancies.</t>
  </si>
  <si>
    <t>Poor leadership from top management. A combination of Chinese and Indian cultures with corrupt government-style politics creates a toxic workplace culture. The culture of NCS is worse than that of a third-world country.</t>
  </si>
  <si>
    <t>Opportunity to meet new people, visit new places, and live in a new city for the summer.</t>
  </si>
  <si>
    <t>Very strict rules, poor and unorganized management, unprofessional.</t>
  </si>
  <si>
    <t>Some decent individuals who truly know how to do their job.</t>
  </si>
  <si>
    <t>Very limited promotion opportunities, selective and based on favoritism. Senior engineers do not know how to mentor junior engineers.</t>
  </si>
  <si>
    <t>The marketing team has many great creative minds but lacks recognition. WPG recognized skill gaps and made smart hires. Jennifer and her team hire professionals and trust their expertise in the digital space, challenging employees to think bigger and leverage tools to exceed expectations. The WPG Brands team, under Kimberly's leadership, shifted from reacting to tension to proactively adjusting, turning chaos into a steady tempo through brand consolidation.</t>
  </si>
  <si>
    <t>WPG did not position itself for success in the digital landscape. The company failed to leverage years of website data to understand content driving commerce. The reviewer wished for more opportunity to build digital presence.</t>
  </si>
  <si>
    <t>Decent compensation for advisors and managers.</t>
  </si>
  <si>
    <t>Controlled advisory recommendations and culture, with little autonomy in providing fiduciary advice to clients.</t>
  </si>
  <si>
    <t>Wonderful team, hybrid work, 'unlimited' paid days off.</t>
  </si>
  <si>
    <t>Grossly underpaid compared to workload. Disorganized company, leading to increased work for employees.</t>
  </si>
  <si>
    <t>Kept as a temp for over a year despite promises of permanent employment, resulting in minimal PTO, benefits, and very low pay. No bereavement time off. Accomplished promotion-worthy work as a temp, but it was erased upon permanent employment, putting the reviewer a year behind peers in career advancement and leading to consistently lower pay. Laid off two weeks after finally being properly promoted. The company prioritizes fancy offices and execs over valuing employees, with multiple rounds of layoffs since October 2021. While the team was great, the company as a whole is not highly regarded.</t>
  </si>
  <si>
    <t>Employees feel stifled professionally. Investment in appearing 'cool' could be better used to benefit customers and employees.</t>
  </si>
  <si>
    <t>Advancement is fantastic if you know the right people. The company offers its own health clinic and good stock/RSU options.</t>
  </si>
  <si>
    <t>Dog-eat-dog culture. Employees who don't conform to the company's ideology are pushed out. 'Think Big' means thinking exactly like management. Boys' club mentality.</t>
  </si>
  <si>
    <t>Great place to work at CBA.</t>
  </si>
  <si>
    <t>Working with glimpses of creative brilliance. The lot offers a comprehensive range of amenities, from commissary to Starbucks and dry-cleaning.</t>
  </si>
  <si>
    <t>Unbearable red tape and endless, pointless meetings. The new CFO lacks confidence in her team, which will adversely affect employees.</t>
  </si>
  <si>
    <t>Toxic peers. Terrible middle management. Excel-based work despite being hired for ML roles. No tech culture, everything is ad-hoc. No work-life balance. Zero job security. Managers with no coding experience judge coders as beneath them.</t>
  </si>
  <si>
    <t>Ability to leave when desired (if time allows). Great colleagues. Overtime available.</t>
  </si>
  <si>
    <t>Low pay, requiring overtime to survive.</t>
  </si>
  <si>
    <t>Decent and inexpensive benefits (medical, health, free standby flights). Good camaraderie. Company appreciation events.</t>
  </si>
  <si>
    <t>Very low starting wage. Union protection is limited for the first 7 months. In the reservation center, good performance leads to more responsibility without a pay increase, despite dealing with angry customers and less knowledgeable tenured co-workers.</t>
  </si>
  <si>
    <t>Decent wage, 7 paid holidays, opportunities for overtime.</t>
  </si>
  <si>
    <t>Too much favoritism for promotions. Area Managers are often recent college graduates with poor communication skills. Jobs are solely focused on numbers. Write-ups occur without considering personal issues or workflow problems. Poor communication to L1 associates. On-site HR is not trained to handle most issues.</t>
  </si>
  <si>
    <t>Located next to a mall.</t>
  </si>
  <si>
    <t>Management is rigid, shallow, and stuck in the dark ages, despite the company presenting itself as progressive. Too many unhappy, unfulfilled, power-tripping middle-aged/old women in leadership roles. Village champion mentality. Rampant favoritism harms staff morale. Focus on appearances over substance. Too many self-centered sycophants. Pointless 2-3 hour meetings are common. The company is full of 'dead wood'. Mental health is not recognized as a valid condition by old-school senior management.</t>
  </si>
  <si>
    <t>Willingness to share knowledge and positive information. Opportunities for learning and benefiting from teamwork. Positive environment, great employer, and a good place to work.</t>
  </si>
  <si>
    <t>Low pay for new employees. Too much pressure to show results, sales, and referrals. Employees are motivated by bonuses with less emphasis on quality.</t>
  </si>
  <si>
    <t>Talented people. Good industry to work in. Good focus on innovation.</t>
  </si>
  <si>
    <t>Incompetent Canadian leadership. Sales and client management teams lag behind market leaders like Amex and VISA. Leadership is unable to drive improvement.</t>
  </si>
  <si>
    <t>Good opportunity and work culture.</t>
  </si>
  <si>
    <t>Low salary in the beginning but high chance of success.</t>
  </si>
  <si>
    <t>Most colleagues that you work with day to day are great.</t>
  </si>
  <si>
    <t>Great disparity between upper and lower management. Handled COVID terribly by bringing all employees back after 3 months. No work-from-home flexibility, even for high performers.</t>
  </si>
  <si>
    <t>Consultants' opinions are not valued by long-term senior executives, despite their contributions to strategic planning. The company could benefit from transforming its talent pool during its transformational change.</t>
  </si>
  <si>
    <t>Good place to work in.</t>
  </si>
  <si>
    <t>Needs more attention from management.</t>
  </si>
  <si>
    <t>Great compensation and benefits from day one, including 401k match up to 6%, tuition reimbursement, and plan discount. Learned new skills in sales process and device support. Colleagues were like a second family, making work bearable.</t>
  </si>
  <si>
    <t>Inconsistent schedule, making a life outside of work difficult. Extremely long hours during holidays, often without lunches or breaks due to busyness or understaffing. Some managers were unprofessional and disrespectful to employees and customers, engaging in unethical practices to increase sales, seemingly encouraged by upper management focused solely on numbers. Company culture and customer experience declined, especially after recent major layoffs. Employees are quickly dismissed to cut costs, regardless of tenure.</t>
  </si>
  <si>
    <t>Horrible benefits. Little career advancement despite 4 years of service, while mentored individuals were promoted. Strict T2 requirements prevented promotion. Poor schedule, with changes every 3 months and forced night shifts, making work-life balance impossible. Higher-ups prioritize 'business' over employee care, leading to the company's decline. Success requires constant presence and perfect weekly stats.</t>
  </si>
  <si>
    <t>Wonderful part-time off plan for full-timers, offering 4-5 weeks annually for sick time, holidays, and vacation.</t>
  </si>
  <si>
    <t>No work-life balance due to full-time commitment and a seven-day bank operation, restricting other engagements. The company is sales-driven and treats employees poorly, forcing cold calls to businesses. Severe understaffing leads to struggling branches, long lines, and customer complaints. Employees are blamed for negative customer experiences, even when caused by understaffing. The job became extremely stressful, leading to the reviewer's departure.</t>
  </si>
  <si>
    <t>Flexibility, care about you, multiple places to move up.</t>
  </si>
  <si>
    <t>Salary low compared to other insurance companies.</t>
  </si>
  <si>
    <t>Overtime pay on the weekends.</t>
  </si>
  <si>
    <t>Micromanagement, unrealistic KPIs, low salary, and mental trauma.</t>
  </si>
  <si>
    <t>Flexible hours, unlimited PTO, company car.</t>
  </si>
  <si>
    <t>Poor management, high turnover, lack of training.</t>
  </si>
  <si>
    <t>Good colleagues and vacation time.</t>
  </si>
  <si>
    <t>200 calls/day, mandatory sales pitch script, no room for growth.</t>
  </si>
  <si>
    <t>Very nice, caring owners. Lots of overtime available. Attentive direct supervisor who supports success and growth. Very nice co-workers with similar mindsets. Fun atmosphere. Large cubicles with ample personal space. Quick growth opportunities for hard workers.</t>
  </si>
  <si>
    <t>Requires working in a fast-paced environment and handling stress with ease. Requires thick skin in the industry.</t>
  </si>
  <si>
    <t>Amazing people, dedicated and caring for their team and clients.</t>
  </si>
  <si>
    <t>Poor leadership and highly toxic environment.</t>
  </si>
  <si>
    <t>Learning curve for freshers. A few good team leads. No salary deduction during the pandemic.</t>
  </si>
  <si>
    <t>Policies change frequently without prior notice. Lacks a proper appraisal policy and increments. Judgement based on hours worked, not efficiency. Requires juggling multiple projects daily. Difficult to leave the company, with potential salary hold for 30 days after serving notice.</t>
  </si>
  <si>
    <t>Very good working level: passionate, keen to make a difference, very collegiate. Peers are the only saving grace and keep work meaningful.</t>
  </si>
  <si>
    <t>Ineffective, toxic management. Incompetent or unresponsive HR. Ridiculous workload and unnecessary last-minute changes. Strange performance management system based on perception rather than results. No career progression; many haven't been promoted in years.</t>
  </si>
  <si>
    <t>Good pay, comparable to other US tech startups. Perfect for fresh college graduates to stay and learn for a year or two.</t>
  </si>
  <si>
    <t>Employee tenure has not changed since 2009, indicating that claims of positive changes are ineffective. Customer advocacy is weak, with most case studies being small, regional convenience stores, some of which are no longer clients. The product's sole focus on brick-and-mortar retail is risky in the digital age, as consumer habits shift online. The company's finances appear unstable, making it vulnerable to market changes or customer loss. Inclusion and diversity are marketing ploys, not practiced culture (e.g., no BIPOC or female VPs as of April 2021). The company has a political, top-down hierarchy. Employees are made to sign vicious one-way NDAs and separation agreements, waiving rights to speak up, which explains the disproportionate number of positive reviews.</t>
  </si>
  <si>
    <t>Inconsistent policies that change to benefit the company. Lazy co-workers are not held accountable for lack of production or poor quality work. High turnover, with new employees constantly being trained who may not return. The plant manager is unqualified.</t>
  </si>
  <si>
    <t>Good pay, good benefits, and some really good people.</t>
  </si>
  <si>
    <t>The promoted 'FAST family' lifestyle was toxic, leaving no life outside of work. Employees felt guilty using PTO, fearing they would let others down. While employees were expected to forgive company mistakes, individual errors led to long-term shunning and gossip. Blatant sexual harassment by partners, clients, and co-workers was prevalent. Higher-up women dismissed complaints, stating 'that's how it is' and sharing similar experiences.</t>
  </si>
  <si>
    <t>Great co-workers and some staff.</t>
  </si>
  <si>
    <t>Impossible to transfer departments. Lower pay than industry standard, compounded by payroll issues. No investment in employee training. Poor morale. Maintenance only for emergencies, leading to significant downtime. No company interest in investing to maintain or create future revenue streams for the mill. Everything is falling apart.</t>
  </si>
  <si>
    <t>Some amazing people still work there, though many of the best have left. The company is in decline.</t>
  </si>
  <si>
    <t>Highly incompetent management (upper and middle) is ruining the company. Promotions are based on favoritism, with people promoted overnight without interviews. HR is powerless, with their recommendations ignored. No empathy for employees, exemplified by layoffs just before the holiday season. Compensation is below market; senior employees are expected to work excessively because juniors earn less, and managers use higher pay as justification for overwork. Work-life balance is a nightmare in some departments, while others are idle. Overwork, already present, is now unbearable after layoffs. Female employees, especially in tech, are undervalued and unappreciated, with a toxic belief that good engineers must be male. The company hires only to lay off people, sometimes within weeks. High risk of being on the next layoff list.</t>
  </si>
  <si>
    <t>Flexible hours.</t>
  </si>
  <si>
    <t>Decent salary, bonus, and benefits.</t>
  </si>
  <si>
    <t>No strategy whatsoever. Uninterested management and bad communication. Excessive focus on reports.</t>
  </si>
  <si>
    <t>Unprofessional, unorganized, and lack of alignment. Director and recruiter lied to cover themselves. Promised no sales or sales goals, but had monthly targets.</t>
  </si>
  <si>
    <t>Learning about IVs was interesting.</t>
  </si>
  <si>
    <t>A company where small, insecure men with big egos succeed. Manager and supervisor temper tantrums are common. Type A management is encouraged over true team building. Lack of diversity in management.</t>
  </si>
  <si>
    <t>Experience gain is the main pro; one can start with no IT skills and get up to speed. Offers a diverse working environment.</t>
  </si>
  <si>
    <t>Management is not forward-thinking. Low starting wage ($15/hour) for a technical job requiring attention to detail and production speed, especially during a recession. Back-breaking work. Unprofessional colleagues and horrendous workplace animosity, exacerbated by quotas creating a toxic environment. Slow communication to upper management; requests for improvements are usually rejected. Mandatory standing, based on the belief it improves production. Non-existent training and fluctuating procedures. Minor errors, easily fixable by QA, result in Non-Compliance Issues. Promised bonuses for harder work were delayed by three months, with metrics for awards only then being developed.</t>
  </si>
  <si>
    <t>Great caring people, salary, flexibility.</t>
  </si>
  <si>
    <t>Benefits, management, no work-life balance.</t>
  </si>
  <si>
    <t>Amazing team members. Amazing opportunity for learning and growth. Direct management was supportive and helpful.</t>
  </si>
  <si>
    <t>Lack of advancement and compensation; went 3 years without a raise or promotion despite being a top performer. Learning occurs through 'trial by fire' with an emotional cost. Overwhelming workload. Incompetent safety leads who require instruction on their job.</t>
  </si>
  <si>
    <t>Good pay.</t>
  </si>
  <si>
    <t>Unprofessional managers, extremely rude and unorganized bosses. Constant need to reiterate availability, and paychecks were frequently incorrect. The company reduced full-time hours to less than 6 hours a week after hiring a replacement, seemingly to minimize unemployment benefits. Worst company to work for, with no central office or support for issues due to dispersed higher-ups.</t>
  </si>
  <si>
    <t>Professional organization with a class-act Branch Manager in Charlotte who expected 100% effort. The office and company had a strong team feel. The VP of Sales was always available and helpful. The owner genuinely cares about employees, aiming to be the best, not the biggest, payroll company.</t>
  </si>
  <si>
    <t>Many passionate people dedicated to the brand's success. Made great friends. Fun product and photoshoots with great content, despite limitations in a censored world. Survived many redundancies.</t>
  </si>
  <si>
    <t>The company changed hands multiple times, leading to shifting brand directions and a struggle to maintain authenticity while promoting a niche, underground history with restrictions on nudity and 'adult sites'. Initially, many toxic individuals in senior positions, but the environment improved after their departure. A subsequent acquisition by Four Marketing introduced new problems: the present agency disregarded AP staff's brand/customer knowledge, leading to a lack of collaboration and independence. They ridiculed teams and interrogated individuals. Two men from Present exhibited misogynistic and unprofessional behavior, but are believed to have left.</t>
  </si>
  <si>
    <t>Everyone was willing to share knowledge and positive information. One is able to learn a lot and to benefit from teamwork. Positive environment, great employer, and a good place to work.</t>
  </si>
  <si>
    <t>Ineffective communication strategies lead to disorganization. Employees act independently when they don't fully understand tasks. Teamwork is lacking.</t>
  </si>
  <si>
    <t>Nice coworkers, happy hours, and a relaxed day-to-day compared to other industry companies.</t>
  </si>
  <si>
    <t>Compensation plan is inadequate for responsibilities. Promotion to Senior Loan Officer is a pay cut unless you are a top producer. Remote work is only for top-producing Senior LOs; others are in-office and constantly monitored. Numerous metrics (20-30) are tracked and used against employees daily, often inaccurately adjusted.</t>
  </si>
  <si>
    <t>Very good benefits and work-life balance.</t>
  </si>
  <si>
    <t>Poor management, lack of career advancement opportunities, high turnover, and lack of collaboration between accounts.</t>
  </si>
  <si>
    <t>Good for first-time workers.</t>
  </si>
  <si>
    <t>Poor management, low pay, breaks codes, and poor upkeep of facilities and equipment.</t>
  </si>
  <si>
    <t>Travel opportunities pre-pandemic, though accommodations involved sharing a 2-bedroom, 1-bath Airbnb with a male coworker.</t>
  </si>
  <si>
    <t>Upper-level management is ineffective and often absent, hiding in offices or gossiping. The atmosphere is anxiety-inducing due to inconsistent feedback and threats to job security. High turnover is caused by constant hiring, firing, and quitting due to emotional trauma. A notable incident involved the CEO's assistant quitting on the spot due to the environment.</t>
  </si>
  <si>
    <t>Good pay, supportive coworkers, multiple divisions, and a strong product suite (carts).</t>
  </si>
  <si>
    <t>Lack of direction from direct manager, who would not return calls unless success was tied to their personal agenda.</t>
  </si>
  <si>
    <t>Consistent 9-5 schedule with weekends and holidays off.</t>
  </si>
  <si>
    <t>Education is run like a business, with the owner prioritizing money. Instructors receive poor salaries, making it hard to find quality staff. Tuition is high, and the company nickel and dimes for everything.</t>
  </si>
  <si>
    <t>Monappa is a good colleague with great work ethics who truly cares for his team.</t>
  </si>
  <si>
    <t>Micromanaging CEO with no work ethics. Value is placed on employees from a certain dominant linguistic group, while hard work and loyalty are not valued. The CEO has no respect for employees.</t>
  </si>
  <si>
    <t>Strong initial technical training, offering much to learn in the first couple of years. Good camaraderie among staff. Fun charity activities.</t>
  </si>
  <si>
    <t>Excessive micromanagement and overly high productivity expectations, often affected by external factors. R&amp;D offers only niche products, hindering mass-market sales and business growth. Career progression is challenging unless senior positions become vacant, and sometimes the best person is not promoted.</t>
  </si>
  <si>
    <t>International company, always seeking ways to improve.</t>
  </si>
  <si>
    <t>Dysfunctional HR team with a lot of politics.</t>
  </si>
  <si>
    <t>Great employee development and great people.</t>
  </si>
  <si>
    <t>Excessively long hours and difficulty getting promoted if not on the right team.</t>
  </si>
  <si>
    <t>Good health and dental benefits, but vision benefits are useless.</t>
  </si>
  <si>
    <t>Dysfunction from the top down. Unqualified people are promoted without support. Excessive red tape hinders progress, leading to working with many frustrated individuals.</t>
  </si>
  <si>
    <t>Great employees and fun after-work activities.</t>
  </si>
  <si>
    <t>Despite initial appearances of great perks like unlimited PTO and free meals, there is no work-life balance, with production team members regularly working 10-14 hour days, weekends, and holidays without overtime. The workload is impossible to complete in an 8-hour day, leading to high stress and low morale. Employee surveys about concerns are ignored, with management offering superficial distractions like pizza parties instead of solutions. Management lacks understanding of how to support the team, focusing on blame and scapegoating. Job security is nonexistent, with employees often fired without explanation, reinforcing a perception of expendability. Many employees leave within a year due to these issues.</t>
  </si>
  <si>
    <t>Good challenge to learn products and stay updated, fair compensation, and internal training. Suitable for compliant rule-followers lacking creativity or ambition.</t>
  </si>
  <si>
    <t>Very political environment where internal relationships outweigh capabilities. No clear career path, and the Peter Principle seems to apply. Advised to avoid the Anaheim office.</t>
  </si>
  <si>
    <t>Positive social environment and quality employee entertainment.</t>
  </si>
  <si>
    <t>No culture of quality or learning. Leadership is inexperienced, lacks humility, and exhibits high ego.</t>
  </si>
  <si>
    <t>The company has developed a business structure and attempted to instill solid values in a medical niche field.</t>
  </si>
  <si>
    <t>Despite stated values of patient care, only bare minimum performance was acceptable. Prominent staffing issues led to a lack of accountability and a culture of gossip, cliques, inappropriate behavior, and defiance of company values. Poor performers felt secure due to staffing shortages. Management lacked leadership training and ignored employee complaints. 'Compliance' was interpreted as cheating, lying, and covering for each other.</t>
  </si>
  <si>
    <t>Many growth opportunities, great inter-team communication, numerous benefits, and great people. Top leadership seemed to care about individuals.</t>
  </si>
  <si>
    <t>Left after a year when my manager departed, leading to direct work with an uncaring and uninformed middle manager. This manager hindered personal growth. Despite this, the team and company culture (excluding that specific manager) fostered a strong sense of connection.</t>
  </si>
  <si>
    <t>Great team of talented people, catered food, good office environment, entry-level game industry positions, and health/dental/life insurance benefits.</t>
  </si>
  <si>
    <t>Job security is nonexistent after recent layoffs, with over half of employees actively seeking other jobs. While the team was caring, the current situation is desperate, with management trying to extract maximum effort. Management often ignored insights from those with a better understanding of the Roblox ecosystem, leading to project failures due to poor game design and unprofitable spending.</t>
  </si>
  <si>
    <t>Serving poor, immigrants, and other needy groups.</t>
  </si>
  <si>
    <t>Management does not value employees and places them in unsafe conditions for the organization's benefit.</t>
  </si>
  <si>
    <t>Friendly work environment, like-minded employees, good experience and transferable skills training, and encouragement to write freely for portfolio building.</t>
  </si>
  <si>
    <t>Teams are overstaffed due to mass employment. Wages are low for the workload. Opportunities for progression are offered but not reflected in pay, and pay reviews are not provided.</t>
  </si>
  <si>
    <t>Rewarding work and research topics, nice colleagues, good work-life balance (35 hours per week), and a DB Pension.</t>
  </si>
  <si>
    <t>Lack of structure and processes hinders research. Poor direction on ownership forces researchers to manage marketing, communication, and finance, which are not their strengths. Publication takes six weeks, leading to stagnant data. Very limited budget for new ideas or team expansion.</t>
  </si>
  <si>
    <t>Known brand with interesting growth and acquisition opportunities. Hope they've learned to acquire companies cleanly and respect new employees.</t>
  </si>
  <si>
    <t>Inefficient processes; approvals and tasks take too long. Employees were forced to sign new contracts over a holiday weekend without legal access. A culture of self-importance exists. The CEO left in the first week, causing emotional distress among some, and there's a 'kool-aid drinking' atmosphere.</t>
  </si>
  <si>
    <t>Subsidized cafeteria lunch and free espresso machines when working in the office.</t>
  </si>
  <si>
    <t>The new CEO, hired in late 2017 to cut costs, transformed Gentherm from a top company to one of the worst. Constant threats of layoffs and pay/benefit cuts are demoralizing. Layoffs, targeting experienced employees, occurred shortly after his arrival and continued through 2020-2021, even after pay was restored post-COVID deferrals. The culture shifted from collaborative to competitive, favoring those who 'suck up' while experienced staff train replacements before being let go. Short-term financial gains from price cuts are unsustainable. The company's commitment to diversity and inclusion is superficial, with no real diversity at the executive level. The 'Women's Network' is perceived as a joke. The reviewer cannot recommend working here until the CEO and his cabinet are replaced.</t>
  </si>
  <si>
    <t>If you wish to diminish your skills, mental health, and good qualities, this is the place for you.</t>
  </si>
  <si>
    <t>The company culture does not expect employees to stay long. Unlimited leave is offered but rarely approved by managers, even for minimal requests. Colleagues escalate issues when contradictory requirements are pointed out in meetings. Communication lacks empathy and etiquette in a remote-first environment. Salary increases are minimal (e.g., 5%). There is a lack of trust between US and India engineering teams. The manager who conducts most interviews has a team with a 50% turnover rate within a year.</t>
  </si>
  <si>
    <t>Excellent incentives, great opportunities for progression, strong encouragement for networking, and large client exposure allowing career guidance across various industries. Sad to leave due to needing to return home.</t>
  </si>
  <si>
    <t>Monitoring a significant number of incentives can be challenging, potentially leading to missed opportunities. Hours can be long, but incentives compensate for them (work hard, play hard culture).</t>
  </si>
  <si>
    <t>Variety of subjects, quick assignment of responsibilities, many smart people, international environment, and strong culture.</t>
  </si>
  <si>
    <t>Difficult to move within the company if not from a top-tier school. Mid-managers do not systematically challenge their teams. Career evolution becomes difficult at a certain point.</t>
  </si>
  <si>
    <t>Working with Rehab Manager Karen Yong was a pleasure. She was active with the APTA Home Health section, knowledgeable about PT practice acts and reimbursement, and an excellent, patient, kind, and true leader and mentor.</t>
  </si>
  <si>
    <t>Healthcare is challenging, requiring high productivity and extensive documentation. Working in San Francisco involved visiting sketchy neighborhoods and health-hazardous homes. The reviewer retired early from the profession at the start of the pandemic.</t>
  </si>
  <si>
    <t>Good clients from whom many things can be learned.</t>
  </si>
  <si>
    <t>High work pressure, poor management, and comparatively low salary.</t>
  </si>
  <si>
    <t>Good compensation, benefits, coworkers, technology, and financial strength. Some managers are also good leaders.</t>
  </si>
  <si>
    <t>Difficult to focus on work due to reporting and training demands. Some managers use old-school approaches and micromanage.</t>
  </si>
  <si>
    <t>Strong reputation and long-standing presence in the banking industry.</t>
  </si>
  <si>
    <t>Clueless management, horrible operations departments, and low pay compared to peers.</t>
  </si>
  <si>
    <t>Remote work and kind IT staff.</t>
  </si>
  <si>
    <t>Terrible onboarding and poor communication. Paid training was not fully compensated. Employees were asked to use personal credit cards for Azure subscriptions. A complete disconnect existed between training materials and actual job expectations. Onboarding device materials and setup were outdated. The reviewer quit after three weeks without being trained on time tracking and was not paid for time past initial training.</t>
  </si>
  <si>
    <t>Stable company with a good bonus structure and retirement plan.</t>
  </si>
  <si>
    <t>Long hours, challenging bosses, and short vacations.</t>
  </si>
  <si>
    <t>Poor management skills. The director does not treat people with respect.</t>
  </si>
  <si>
    <t>Horrible management, low pay, and unfair treatment.</t>
  </si>
  <si>
    <t>Trustworthy colleagues.</t>
  </si>
  <si>
    <t>Poor management. Consistently low staffing and difficulty obtaining supplies. Raises are only given after mass employee departures due to poor treatment.</t>
  </si>
  <si>
    <t>No respect for employees and no value for their contributions.</t>
  </si>
  <si>
    <t>Initially, working here was viable and profitable. Awesome coworkers (excluding higher-ups). Remote work option.</t>
  </si>
  <si>
    <t>After going public, the company rapidly declined. Unnecessary programs and 'improvements' were introduced, with new staff hired while hundreds were laid off. Employees experienced overwork, pay cuts, removal of promised bonuses, and constant changes to policies and benefits.</t>
  </si>
  <si>
    <t>The job is relatively easy after learning primary cell isolation. Compensation is good, potentially justified by being on-call every other week. Free food and snacks are provided. The team is great and cooperative, leading to a generally low-stress job. The manager is amazing and accommodating. Benefits include paid medical and dental, and free vision, disability, and life insurance. Minimal paid parental leave is expected in 2023.</t>
  </si>
  <si>
    <t>Limited advancement opportunities within the team, primarily to tech lead, which is used to retain staff. The team is mostly manufacturing, not R&amp;D as initially stated, leading to repetitive work. Being on-call every other week, with about four calls per month outside business hours, is not ideal despite advance scheduling. PTO is limited to about 10 days per year plus 1-2 flex holidays. Startup growing pains cause stress. The reviewer left due to the job not suiting their work style and the boss's harsh actions and frequent mood swings, which kept the team on edge. Executives work from home during inclement weather, but technicians are denied this, even with minimal work.</t>
  </si>
  <si>
    <t>Backward pay structure fails to attract top talent. A very cliquish and close-minded monoculture exists due to long-tenured employees and few outsiders. Lacks understanding of market research, marketing, and a sound vision. Develops unwanted products. Does not embrace new ideas. Dreadful atmosphere where nobody smiles. The reviewer was glad to leave.</t>
  </si>
  <si>
    <t>Decent benefits including 401K, dental, and vision.</t>
  </si>
  <si>
    <t>Poor pay and no job training; employees are left to learn job requirements independently.</t>
  </si>
  <si>
    <t>Approximately 20% churn rate in the TLV office, affecting developers, team leads, product staff, and even office managers.</t>
  </si>
  <si>
    <t>Pay and benefits are decent, but could be improved.</t>
  </si>
  <si>
    <t>Initially mission-driven, the company shifted to a profit focus as it grew.</t>
  </si>
  <si>
    <t>Freshers and interns can learn a lot due to a lack of rigid processes and restrictions. Access is provided to explore one's domain. Offers good work-life balance and flexible timings. Employees can work independently within set timelines and targets.</t>
  </si>
  <si>
    <t>Lack of processes. Not suitable for experienced or management-oriented individuals. Unclear vision and mission. Deficiency of projects. Fails to retain valuable employees.</t>
  </si>
  <si>
    <t>Great pay, opportunities for growth, fast-growing company, and supportive staff.</t>
  </si>
  <si>
    <t>General startup challenges common to every company.</t>
  </si>
  <si>
    <t>Great people and a wonderful team. Fair benefits and pay. Wonderful projects and an interesting client roster. Beautiful working space and huge growth potential.</t>
  </si>
  <si>
    <t>Lack of direction, training, and support. Very little consistency. Decisions are not always made for the good of the entire business.</t>
  </si>
  <si>
    <t>Good pay compared to other districts.</t>
  </si>
  <si>
    <t>Large organization with opportunities for learning, development, and training. Good culture, global advantage, international culture, and diversity.</t>
  </si>
  <si>
    <t>Busy, large organization with many deadlines and long hours.</t>
  </si>
  <si>
    <t>Consistent shifts, available overtime, and bonuses.</t>
  </si>
  <si>
    <t>Worked hard for over a year and achieved KPIs, but the bonus was withheld upon leaving.</t>
  </si>
  <si>
    <t>Nice people to work with.</t>
  </si>
  <si>
    <t>Bonuses, but only after being forced to reach sales goals.</t>
  </si>
  <si>
    <t>They do not care about employees, only about numbers.</t>
  </si>
  <si>
    <t>Stable employer, good cafeteria, and great location.</t>
  </si>
  <si>
    <t>Bad and incompetent management. Terrible pay. HR does not advocate for employees. High turnover rates. Management has a revolving door policy.</t>
  </si>
  <si>
    <t>Good place to gain experience, but don't stay too long.</t>
  </si>
  <si>
    <t>Payment is below competitors for the same positions.</t>
  </si>
  <si>
    <t>Toxic culture and lack of integrity.</t>
  </si>
  <si>
    <t>Employees receive low feedback, leading to giving up.</t>
  </si>
  <si>
    <t>The working environment is great. All assets are provided for flexible work. Leads are supportive and guide through the process.</t>
  </si>
  <si>
    <t>Despite facilities and supportive leads, management now treats employees like slaves, lacking respect. This behavior started after COVID-19; previously, everything was good.</t>
  </si>
  <si>
    <t>Crew members do not care about others.</t>
  </si>
  <si>
    <t>Sufficient hours and flexible shifts.</t>
  </si>
  <si>
    <t>Often required to punch out later than expected.</t>
  </si>
  <si>
    <t>Promotion is based on potential, not just achievements, which allows for fast growth but can lead to working with ineffective 'sweet talkers'. The company offers significant learning opportunities and early responsibility. The culture is direct and decisive.</t>
  </si>
  <si>
    <t>Toxic management, especially in the last 2-3 years, with leaders backstabbing each other for good news rather than results. Lack of empathy in the People function. The company struggles with organic growth, leading to constant cost cuts, immense pressure, and burnout. Employees who stay too long are labeled 'blockers'. Diversity and inclusion are superficial, with real career opportunities mostly going to Brazilian males. Pay is below market average, and bonuses have been absent since 2019 due to poor company results and declining shares. The company is very short-term oriented.</t>
  </si>
  <si>
    <t>It is a good company to choose.</t>
  </si>
  <si>
    <t>No transport.</t>
  </si>
  <si>
    <t>Time at the bank passed quickly. Started with a 2-week temporary assignment and stayed 30 years until redundancy. Was offered other roles but chose to pursue something new. Would have stayed if not for redundancy.</t>
  </si>
  <si>
    <t>Due to staff levels, it was sometimes unclear where to seek help. The environment was very changeable and at times stressful.</t>
  </si>
  <si>
    <t>Significantly higher pay than most retail jobs, generous paid time off, and great health benefits.</t>
  </si>
  <si>
    <t>It is still a retail job, with severe micromanagement. Employees are required to work every weekend and are forced to sell terrible products like "Hum," facing trouble if they fail to do so.</t>
  </si>
  <si>
    <t>Decent pay, benefits, remote work options, and some smart, nice, and productive colleagues.</t>
  </si>
  <si>
    <t>Constant, impulsive organizational changes by executives with little forethought. Expectations to work and be available on weekends, even if not disclosed during hiring. Unreasonable expectations, constant stress, and overwork. Promotions are difficult and often based on favoritism. Very little work-life balance. Low employee retention, with most employees staying 2 years or less. Employees are expendable, and it is not a long-term career place. The corporate culture is unlikely to improve unless executives care.</t>
  </si>
  <si>
    <t>Great opportunities for students to move between teams, gaining exposure and experience.</t>
  </si>
  <si>
    <t>Mostly tedious administrative work.</t>
  </si>
  <si>
    <t>Friendly colleagues. Outdated systems and processes offer the opportunity to learn products in-depth due to minimal automation.</t>
  </si>
  <si>
    <t>Blame culture. Unprofessional HR Department. Low pay and long work hours. Zero tolerance for errors. Only one female in management. Outdated systems and processes.</t>
  </si>
  <si>
    <t>Good teams, strong developers, knowledgeable business, potential for interesting work, and good internal mobility opportunities.</t>
  </si>
  <si>
    <t>Terrible, frequently changing management leads to confused goals and wasted money on scrapped projects. Management promotes a bad workplace culture and disregards employees. HR and managers ignore inappropriate behavior, including affairs and sexual harassment. Junior employees are left with problematic, unfinished projects when others move to new roles.</t>
  </si>
  <si>
    <t>Leadership supports and encourages negative, chauvinistic, and unethical behavior, which the HR department is aware of and allows to continue.</t>
  </si>
  <si>
    <t>Managers are very inclusive and want employees to succeed.</t>
  </si>
  <si>
    <t>Work can be stressful depending on location. Training was inadequate for certain tasks.</t>
  </si>
  <si>
    <t>Frequent and relevant product trainings. Some middle management and cross-team colleagues offer good tips and tricks.</t>
  </si>
  <si>
    <t>Most management is poor. Project clients are condescending and encourage gossiping about managers. There is a lot of general gossip and unprofessionalism within management teams.</t>
  </si>
  <si>
    <t>Easy work for those with common sense.</t>
  </si>
  <si>
    <t>The majority of employees are young teenagers lacking customer service skills and respect.</t>
  </si>
  <si>
    <t>Many different job opportunities, decent pay (though lower than MRP), and work-from-home options.</t>
  </si>
  <si>
    <t>No promotions (requires applying to different jobs). The financial bottom line is the priority. The culture is artificial, like something from an HR textbook.</t>
  </si>
  <si>
    <t>Open-door policy, helpful colleagues, autonomy on projects. The 6-month co-op makes you feel like a full-time employee. Treated like a full-time employee, not just a co-op. Great hourly rate and overtime.</t>
  </si>
  <si>
    <t>Many reporting responsibilities in addition to regular, project-based work. Difficult to secure a second co-op due to high competitiveness.</t>
  </si>
  <si>
    <t>Good benefits, insurance, and nice co-workers.</t>
  </si>
  <si>
    <t>Sales pressure, unprofessional management, and complicated systems.</t>
  </si>
  <si>
    <t>Flexible and tolerant management. Adequate pay for international employees.</t>
  </si>
  <si>
    <t>Disorganized. Not internationally open; it is mostly an Italian company with limited growth opportunities for foreigners. Operates more like a public company than an IOC, with local employees resembling government workers. Employees are stressed and not always efficient. Lack of clear business processes. Human resource management is non-existent and lacks transparency.</t>
  </si>
  <si>
    <t>Little to no details provided about training or expectations, leading to being talked about behind closed doors.</t>
  </si>
  <si>
    <t>More holidays. Opportunity to work with complex frameworks and various technologies.</t>
  </si>
  <si>
    <t>System is over-designed and very complex, requiring significant time to understand.</t>
  </si>
  <si>
    <t>Employees are paid on time.</t>
  </si>
  <si>
    <t>Owners do not care about employees and do not take COVID seriously. Extremely high turnover, and overall, not a good work environment. Few employees stay longer than a year.</t>
  </si>
  <si>
    <t>Nice coworkers and good location.</t>
  </si>
  <si>
    <t>Unrealistic expectations from management and work-life balance is not a priority.</t>
  </si>
  <si>
    <t>Made many friends and enjoyed working with colleagues who made the day great.</t>
  </si>
  <si>
    <t>Work was hard.</t>
  </si>
  <si>
    <t>Good time off, great communication from higher-ups ensuring everyone is informed, and a positive culture.</t>
  </si>
  <si>
    <t>Stressful work environment, impossible metrics for bonuses, constant new tasks, deadlines, and endless goals/clinics.</t>
  </si>
  <si>
    <t>Set schedule, easy hiring process, and an hour lunch break.</t>
  </si>
  <si>
    <t>Takes time to earn decent money, with a glass ceiling reached within 3 years. Benefits are mediocre. Professional growth is difficult to achieve.</t>
  </si>
  <si>
    <t>Great branding and history. Top-notch banking organization. Highly dedicated front office staff.</t>
  </si>
  <si>
    <t>Organization, especially in IT, is erratic; they sometimes act like Google. Personalities often prioritize advancement over job completion. Preference for short-term fixes over long-term solutions.</t>
  </si>
  <si>
    <t>Teleperformance is not a great place to work; it is very unorganized. Managers are unprofessional. If equipment is broken, employees receive demerit points even after communicating with managers, who still assign blame. There is a complete lack of communication.</t>
  </si>
  <si>
    <t>Stability, good environment, valuable experience, and work-from-home options during the pandemic.</t>
  </si>
  <si>
    <t>Lack of organization, weak leadership skills, no tools provided for work, very long hours, and disorganized schedules.</t>
  </si>
  <si>
    <t>Very toxic work environment.</t>
  </si>
  <si>
    <t>Relaxed work environment, flexible scheduling, and openness to new ideas.</t>
  </si>
  <si>
    <t>The loudest people dominate. Lack of direction for team or growth. Constant reorganizations negatively impact morale.</t>
  </si>
  <si>
    <t>Decent pay with flexible hours. Training was consistently well done. Some encouraging managers.</t>
  </si>
  <si>
    <t>Micromanagement. Pressure to process incomplete work. Expected to handle too many responsibilities.</t>
  </si>
  <si>
    <t>Great work-life balance and great leaders. Enjoyed time there with great teams.</t>
  </si>
  <si>
    <t>Few cons, but there is a lot of organizational shift.</t>
  </si>
  <si>
    <t>Good tech stack and colleagues.</t>
  </si>
  <si>
    <t>Opportunity to work with good brands and great in-house team members.</t>
  </si>
  <si>
    <t>Great, caring fellow teachers.</t>
  </si>
  <si>
    <t>Defamation of former employees.</t>
  </si>
  <si>
    <t>Work-from-home/flexible work options. Good tools and applications for work. Onboarding product is a solid solution.</t>
  </si>
  <si>
    <t>High turnover. Lack of innovation. Homogenous thinking and behavior, leading to disorganization, ineffective solutions, and cultural complacency regarding improvement or change.</t>
  </si>
  <si>
    <t>The company hires based on 'mental stamina' to handle a sales workhorse environment. Competition is toxic, not encouraging.</t>
  </si>
  <si>
    <t>Remote work, 100% healthcare paid, and unlimited PTO (though employees may not feel comfortable using it).</t>
  </si>
  <si>
    <t>The employee's experience ended terribly, and they would not recommend working here. The company initially appeared to care about employees but proved otherwise. The department the employee was hired into was shut down on the third day of onboarding, forcing a move to sales with no experience. Hours were changed, negatively impacting family life. Despite excelling and receiving a promotion and pay raise within two months, the employee was required to obtain a real estate license, involving six months of studying outside work hours. After obtaining the license, the employee was moved back to the original department, then 'promoted' to an unfamiliar role without application or interview. Reservations were expressed, and after a period of slow operations, the employee was moved back to the original hired role. Two weeks later, the employee was fired for not being a 'good fit,' despite adapting to all changes and being a top performer in sales. Only one week of severance was provided. A month later, a large layoff occurred with significantly larger severance packages, suggesting the company used the employee's honesty to avoid a layoff. This was potentially the company's second or third layoff in three years.</t>
  </si>
  <si>
    <t>The marketing department is in shambles, with a very high turnover rate. It scores poorly in surveys. The company uses temporary fixes instead of permanent solutions. There is a lack of responsibility and accountability.</t>
  </si>
  <si>
    <t>Global Dimensions treats employees like family. CEO Chris Newton, Candice, and Noura genuinely care. The motto 'People first. Mission always' reflects their commitment. High respect for the GD team, and would work with them again. Appreciates the support during employment as a Linguist in Afghanistan. Chris and Noura are kind people and great leaders.</t>
  </si>
  <si>
    <t>Enjoyed being a property manager. Pay was below appropriate levels for apartment size and responsibilities. Benefits were acceptable.</t>
  </si>
  <si>
    <t>Training was inadequate, left to a power-tripping property manager who was also managing another property. Insufficient time for proper training on numerous required reports. Regional management was unhelpful, often preoccupied. Expected to manage property renovations in addition to regular duties, making 8-hour days insufficient. Lack of a dedicated project manager for renovations. Requests for help with expired leases, unposted HAP payments, and messed-up ledgers were ignored, with instructions to prioritize other tasks. Was told to lie to owners about property problems and to falsely report skipped tenants as merely behind on rent to hide vacancies. Fired without warning for being overwhelmed. High management turnover. Company prioritizes regional managers over property managers. Regional manager displayed unprofessional behavior, discussing personal matters during a work lunch.</t>
  </si>
  <si>
    <t>Benefits are the only notable positive.</t>
  </si>
  <si>
    <t>Poor management and no clear path for advancement.</t>
  </si>
  <si>
    <t>Great people to work with.</t>
  </si>
  <si>
    <t>The pharmacist was not a team player.</t>
  </si>
  <si>
    <t>Dogs allowed in the office and free food on Fridays.</t>
  </si>
  <si>
    <t>While colleagues (non-leadership) are kind and hardworking, the company itself is not competitive in the job market. Many employees come from worse jobs, finding MT 'not bad,' but quickly realize they are underpaid, overworked, and lack growth opportunities, especially in less valued departments. Growth is often promised without a clear plan. Salaries are significantly lower (10-15k+) than market rates for similar roles. Leadership is inexperienced, unapproachable, and either unaware or unwilling to address employee issues like capacity. The company primarily rewards sales, has incompetent leadership, and fails to uphold its stated values. It is not competitive in a thriving economy. Employees are advised to treat this job as a transition, acknowledge limited growth, and set boundaries to avoid being overworked or exploited.</t>
  </si>
  <si>
    <t>Good work environment, with teams dedicated to their goals.</t>
  </si>
  <si>
    <t>Tendency towards full in-person work.</t>
  </si>
  <si>
    <t>Good pay rate, overtime, and weekly incentives.</t>
  </si>
  <si>
    <t>Unsympathetic management, on-call requirements, and haughty customers.</t>
  </si>
  <si>
    <t>Good work/life balance, great work environment, supportive team.</t>
  </si>
  <si>
    <t>Salaries are too low, and it's hard to get a promotion or advance in your career.</t>
  </si>
  <si>
    <t>Great team and management create an open and motivating working environment where everyone is equal, and ideas and opinions are heard and encouraged. It's a great place to work for anyone wanting to make an impact and be part of the tech world.</t>
  </si>
  <si>
    <t>Employees must feel comfortable making decisions and having a certain level of autonomy/responsibility.</t>
  </si>
  <si>
    <t>Decent benefits, nice offices, and real potential.</t>
  </si>
  <si>
    <t>The London loan processing team lacks agility, self-organization, and autonomy, with top-down micromanagement. Team leads and managers are manipulative and untrustworthy. Employees are expected to work excessive overtime and meet unrealistic deadlines. Management in this team is self-serving.</t>
  </si>
  <si>
    <t>The company prizes its ethical foundation, has a strong focus on safety and gender diversity, and a very talented workforce.</t>
  </si>
  <si>
    <t>It is a very risk-averse company; most leaders have avoided risky assignments. There is a strong connective thread for those who worked together in their early years, especially on California assignments.</t>
  </si>
  <si>
    <t>Very good people to work with at the functional/individual level. The company managed the COVID situation relatively well. The new CEO appears to be trying to correct course on culture and engagement. Generally interesting industries and technologies, with opportunities to get a lot of exposure to different parts of the business operation.</t>
  </si>
  <si>
    <t>A cost-cutting mindset has been deeply rooted over the last five years, with the Finance department driving the company, not tech or engineering. The technical team's experience level has greatly reduced through headcount reductions and outsourcing. The company is unable to effectively innovate organically, acquiring technology through M&amp;A with limited success. It finds ways to run leaner every year, burdening remaining staff with more work, resulting in extensive burnout and turning a blind eye to turnover. There is limited meaningful appreciation for employee experience, and benefits continue to be reduced year after year.</t>
  </si>
  <si>
    <t>Employees will have no life. Making money is possible only if you survive the first year. The company appears amazing and nice, but the reality of working there is different. The reviewer experienced defamation and belittlement from the sales manager. Sales are difficult due to company policies (e.g., roof installs only, no Spanish demos) and technical failures. Training is 40 hours a week, and employees are on call 7 days a week. Payment for sales can take up to 3 months, with a salary of $250 a week.</t>
  </si>
  <si>
    <t>A place where one can improve knowledge and progress in their career path.</t>
  </si>
  <si>
    <t>Strict reporting times with little grace period are a disadvantage for those who work late.</t>
  </si>
  <si>
    <t>Employees will enjoy working with students to help them achieve their goals and dreams.</t>
  </si>
  <si>
    <t>Hostile working environment that does not promote growth or unity among co-workers.</t>
  </si>
  <si>
    <t>With properly trained and educated management, day-to-day activities can run smoothly. Properly staffed teams are a must.</t>
  </si>
  <si>
    <t>Managers are not properly trained to oversee staff and lack leadership qualities, often powered only by their superiors. This creates a toxic chain where store managers demand unfeasible results, leading assistant managers and team leads to demand exhausting and unfeasible results from employees, contributing to high turnover.</t>
  </si>
  <si>
    <t>Once had cutting-edge benefits, but now they are just average as other companies have caught up.</t>
  </si>
  <si>
    <t>Outdated software, and the new Viya products are not catching on with customers.</t>
  </si>
  <si>
    <t>The school cafeteria had good food.</t>
  </si>
  <si>
    <t>Everything, including the cost of food at the office bistro and "discounts," was geared toward providers and their salaries. Insurance benefits were not great, only allowing Froedtert providers. Job duties did not meet salary expectations, resulting in too much work for too little pay.</t>
  </si>
  <si>
    <t>Good pay and chances to grow and relocate.</t>
  </si>
  <si>
    <t>Great coworkers for the most part.</t>
  </si>
  <si>
    <t>The company misled the reviewer about potential earnings, promising $65k but resulting in $0 in two months. The recruitment process was problematic, with a high dropout rate and questionable office location near an MLM scheme. The reviewer received no shadowing opportunities during unpaid training, unlike others. Leads provided were often invalid or cancelled, indicating a lack of support and deceptive practices. The company plays games with leads and does not provide adequate support, leading to high turnover.</t>
  </si>
  <si>
    <t>Shady company that views employees as easily replaceable numbers and does not value them. The training program is terrible and sets employees up for failure. The trainer was rude and made the reviewer feel unsuccessful.</t>
  </si>
  <si>
    <t>The location is hard to fault.</t>
  </si>
  <si>
    <t>There is significant micromanagement by the CEO.</t>
  </si>
  <si>
    <t>Great job security, competitive wages, super cool products, and excellent co-workers. Ilmor offers many employee perks to show appreciation. It is one of the best companies the reviewer has worked for, offering challenging yet satisfying and rewarding outcomes.</t>
  </si>
  <si>
    <t>Tight timelines, work-life balance is heavily weighed towards work, and there is a large gap between working level and management level.</t>
  </si>
  <si>
    <t>Great work environment, friendly colleagues, and decent perks.</t>
  </si>
  <si>
    <t>Needs structure for career progression and more experienced individuals in top management. Management is not transparent.</t>
  </si>
  <si>
    <t>Efficiency, easily met targets, and a professional human approach.</t>
  </si>
  <si>
    <t>It can be a fun place to work, and outsiders perceive it as a cool place to be employed.</t>
  </si>
  <si>
    <t>The organization is sclerotic, unable to correct decades-old procedural problems. Promotions are based on willingness to work excessive overtime and tolerate abuse, rather than knowledge or work quality, favoring "yes men." The company is committed to paying employees as little as possible, offering no performance reviews or mechanisms for raises beyond competing for higher-paying positions, which requires working 6-7 days a week for years.</t>
  </si>
  <si>
    <t>Working on the corporate side as a Recruiter provided a stable position due to the high turnover rate in retail banking.</t>
  </si>
  <si>
    <t>HSBC did not value employees and made it increasingly difficult for retail banking staff to earn bonuses each year.</t>
  </si>
  <si>
    <t>Great place to make progress and fosters an ownership culture.</t>
  </si>
  <si>
    <t>Poor work-life balance and inconsistent spending.</t>
  </si>
  <si>
    <t>Good work environment within the group.</t>
  </si>
  <si>
    <t>Variable salary below market rate.</t>
  </si>
  <si>
    <t>Pay is good, but employees definitely earn it through hard work.</t>
  </si>
  <si>
    <t>Employees will work excessively for the good pay, devoting their entire lives to the company. Those with families and kids will not see them often.</t>
  </si>
  <si>
    <t>Good pay and benefits for all.</t>
  </si>
  <si>
    <t>Flexible working conditions and friendly staff.</t>
  </si>
  <si>
    <t>Issues with senior management, communication, and office politics.</t>
  </si>
  <si>
    <t>Had the best experience with the company and enjoyed working there.</t>
  </si>
  <si>
    <t>No training or support. The Virgin Media campaign was horrendous, with no help, and Team Leaders did not care.</t>
  </si>
  <si>
    <t>One of the best organizations for work-life balance, as the company is very employee-oriented.</t>
  </si>
  <si>
    <t>Flexible hours, opportunities to meet new people, meal discounts, and various areas to work in.</t>
  </si>
  <si>
    <t>Long time for advancement and rude customers.</t>
  </si>
  <si>
    <t>Good money and great management.</t>
  </si>
  <si>
    <t>Hard to hit targets, especially in a quiet area.</t>
  </si>
  <si>
    <t>In the sector where the reviewer worked, it was calm, without pressure, with a great salary, two coffee breaks, and the boss was not micromanaging.</t>
  </si>
  <si>
    <t>The company did not value those who truly worked, but rather those who joined cliques or were deemed convenient. Permanent staff treated temporary employees poorly. There is a significant lack of professionalism and competence.</t>
  </si>
  <si>
    <t>Paychecks were always on time. All-star employees might avoid vulgar language. The office location was convenient, near two highways. Had great fellow employees. The CEO is actively involved, even posting reviews on Glassdoor.</t>
  </si>
  <si>
    <t>Company policy required all customer emails to go through the CEO, who would sometimes contact clients directly without consulting the employee. The CEO would demand proofreading for grammatical errors in employee emails, despite his own mistakes. The reviewer chose to leave due to poor treatment of co-workers. The CEO states the company is a sales company, not a software company, which may be misleading for those seeking a software role.</t>
  </si>
  <si>
    <t>Amazing peers, opportunities to bond over shared experiences, and chances to learn on many different projects.</t>
  </si>
  <si>
    <t>Overconfident but inexperienced leaders. Constant changing priorities with no time for onboarding or training. Very restrictive personal freedoms, including set lunch breaks and detailed timesheets that create a lack of trust. Significant micromanagement hinders productivity. A strong blame culture requires employees to constantly cover themselves. Senior Leadership Team (SLT) does not accept feedback. Very high staff turnover due to stress levels. Poor work-life balance. Culture of favoritism and nepotism. Long contracts with large financial penalties for early departure.</t>
  </si>
  <si>
    <t>Innovative software platform and high-profile clients.</t>
  </si>
  <si>
    <t>Aggressive schedules. Senior Management lacked the skills needed to deliver and retain employees.</t>
  </si>
  <si>
    <t>Enjoyed the flexibility to make my own schedule and providing patient care, though with little to no help.</t>
  </si>
  <si>
    <t>Horrible patient-to-staff ratio. The floor had an overall negative mentality. The negatives significantly outweigh the positives.</t>
  </si>
  <si>
    <t>Amazing co-workers and decent parking.</t>
  </si>
  <si>
    <t>Terrible leadership provides very little support. Benefits are consistently reduced. Very high turnover. Lack of consistency, disorganization, employees feel undervalued, and insufficient training for new employees.</t>
  </si>
  <si>
    <t>Opportunity to learn about cybersecurity from bootstrap.</t>
  </si>
  <si>
    <t>The company can terminate training at any time and withhold the security deposit (1.15L). They offer a high salary package which is a myth. Freshers are required to enroll in the company's own training certification course and pay a 1.15L security deposit. The contract for this course does not mention the CTC package, with promises only verbal. Upon completing training, HR denies promised packages due to lack of written proof. Training takes double the promised time (e.g., 4.5 months became 8.5 months). Trainees often sit idle as employees are busy with projects. They are placed in on-project training, doing employee work for free while also needing to complete training sessions and tasks. HR expects trainees to complete tasks after 9-hour shifts and on weekends/holidays. The company is essentially a fraud, seeking security deposits and free labor.</t>
  </si>
  <si>
    <t>A lot of freedom to try new things.</t>
  </si>
  <si>
    <t>Overwork, poor communication, and a blame culture.</t>
  </si>
  <si>
    <t>Flexibility to work from wherever, whenever.</t>
  </si>
  <si>
    <t>Inexperienced leaders with inflated job titles and big egos. Retention of poor performers, often by creating new roles for them. Unsolicited feedback on candidates and back-channeling are common. Equity and DEI are buzzwords; favoritism is applied to promotional opportunities, with exceptions made for those connected to CPO/CHRO, and high turnover among diverse employees is a red flag. Leaders retaliate by dissecting low engagement results to identify individuals rather than taking accountability. Lack of respect for boundaries, with common communication during time off. Lack of true strategic growth mindset, leading to reactive and inefficient processes. The company is chaotic and dysfunctional for its size and post-IPO status.</t>
  </si>
  <si>
    <t>Provides a paycheck with benefits, though benefits worsen annually.</t>
  </si>
  <si>
    <t>This organization is not suitable for those who are good at what they do, take pride in self-improvement, and want to expand their skill set. The interview process misrepresents the company as progressive and community-focused, but it is a money grab to enrich upper management, despite being a non-profit with limited income sources. Upper management distances itself from employees, showing no respect for their talents or professional opinions. The staff is unhappy, and the culture is toxic, with a vindictive attitude towards employees who leave, making them unsuitable as references. When employees leave, positions are often not replaced, and other departments absorb the workload without salary changes. Raises or title changes are given to only a select few, with little upward mobility. The CEO micromanages everyone, hindering department heads and making decisions only when pushed, often rejecting others' ideas only to reintroduce them as his own.</t>
  </si>
  <si>
    <t>Nice building, free food, and met some nice people.</t>
  </si>
  <si>
    <t>Leadership is awful and seems to emulate Dave Ramsey.</t>
  </si>
  <si>
    <t>A lot of freedom in decision-making and interesting features/initiatives.</t>
  </si>
  <si>
    <t>Very slow development of features. Interesting features are rarely released, mostly remaining in the conceptual stage.</t>
  </si>
  <si>
    <t>Work from home.</t>
  </si>
  <si>
    <t>No venting allowed and no privacy; private conversations are monitored, and employees are asked to report others for negativity. No breaks between customers. Employees are treated like children, and management makes excuses for not raising pay. The environment is toxic.</t>
  </si>
  <si>
    <t>Employees are treated as mere numbers, and patients are viewed solely as sources of revenue. While amazing employees care for others, this is not encouraged and often leads to reprimand for not following policy. Stress levels are high, work-life balance is nonexistent, employees are undervalued, and nepotism in upper management is blatant.</t>
  </si>
  <si>
    <t>Great colleagues, though their numbers are reducing. Opportunities generally exist for progression, but only if one fits in.</t>
  </si>
  <si>
    <t>Frustration due to constant mismanagement and restructuring. Uncertainty about whether the CEO is aware of ongoing issues.</t>
  </si>
  <si>
    <t>Dog fights occur due to management allowing aggressive dogs into already full parks. The company is understaffed, with handlers sometimes left with over 60 dogs per shift, forcing them to choose between lunch or leaving dogs unattended.</t>
  </si>
  <si>
    <t>The owner is a sexual predator who gropes staff members. The office has CCTVs everywhere, creating a prison-like feeling of constant surveillance. Bullying is regular, and partners ignore it.</t>
  </si>
  <si>
    <t>Flexible working times and the opportunity to make a difference for kids.</t>
  </si>
  <si>
    <t>Employees are treated as disposable numbers.</t>
  </si>
  <si>
    <t>Profit-sharing and Christmas bonuses are offered, but both are based on time served, requiring at least 5 years of tenure to be significant.</t>
  </si>
  <si>
    <t>Micromanagement. The company brainwashes employees with a culture that is not genuinely lived. It cares more about numbers than employees. Horrible health insurance plan. The company only cares about employees when they are beneficial, and once they mention leaving, they are treated as if they never existed. A dedicated Culture Executive gathers employee information to inform the Senior Team, leading to excessive gossip. High turnover means training is rushed to make new hires "beneficial" quickly.</t>
  </si>
  <si>
    <t>Employees report that benefits are good.</t>
  </si>
  <si>
    <t>The workplace resembles middle school, and has worsened significantly in the past two years. Understaffing due to toxicity leaves new employees untrained and confused, or current employees changing positions to figure out their jobs independently. Employees are overworked and overwhelmed, with management adding stress through negative comments instead of providing training or support. The CEO's stated support is merely words, as she allows toxicity to continue by ignoring it. Negativity is out of control.</t>
  </si>
  <si>
    <t>Free food, fun coworkers, sometimes interesting customers</t>
  </si>
  <si>
    <t>Overworked and underappreciated. Requesting time off doesn't work because you will still be scheduled. You will be expected to work your station as well as others.</t>
  </si>
  <si>
    <t>Opportunity to meet people in the industry</t>
  </si>
  <si>
    <t>Most conversations are fake. Sales techniques are used to make you feel good. There is a lack of sincerity. The company is too old school, and management lacks a forward-looking vision.</t>
  </si>
  <si>
    <t>Good pay, easy job, okay hours, easy to commute</t>
  </si>
  <si>
    <t>Terrible managers. Systems that don't work. Unfairly strict with breaks; employees are called into HR for being 40 seconds late.</t>
  </si>
  <si>
    <t>Opportunity to play and test the latest software</t>
  </si>
  <si>
    <t>Consistent hours or days are not guaranteed. The work schedule is sporadic and chaotic with little to no warning about upcoming shifts or projects. Apart from senior permanent staff, all other staff members are required to hot-desk, even during the pandemic. All staff members are expected to perform duties above their pay grade or level with no guarantee of promotions or pay raises, only a title change.</t>
  </si>
  <si>
    <t>Client-facing opportunities, can polish soft skills</t>
  </si>
  <si>
    <t>Only market research, not consulting. Mundane work.</t>
  </si>
  <si>
    <t>Micromanagement at its finest. Employees are treated like children.</t>
  </si>
  <si>
    <t>The company lures foreign recruits to their Korea HQ with competitive salaries but does not disclose a double standard for performance evaluations. This lack of transparency means foreigners are evaluated at a higher standard due to their higher incomes. If foreigners are expected to meet higher standards due to higher pay, they should be given higher positions aligned with their salaries to deliver on those expectations. This is discriminatory, and their bait-and-switch practice is questionable and incredibly unfair.</t>
  </si>
  <si>
    <t>Amazing IP, products, and benefits. Competitive pay. Opportunity to work with the best in the industry.</t>
  </si>
  <si>
    <t>Managers focused only on their own careers. Massive communication issues between business sections. Reluctance or slowness to embrace competitive, cutting-edge technology and ideas in parks.</t>
  </si>
  <si>
    <t>Truly entrepreneurial-spirited company that knows how to pivot and seize opportunities. The reviewer worked there for 10 years, starting as employee #2, and saw it grow to over 800 employees and $70M in gross revenue. Left to pursue another entrepreneurial start-up.</t>
  </si>
  <si>
    <t>No cons. In 2019, the company brought in new equity partners and leadership, becoming more structured, which led the reviewer to leave for start-up organizations where they felt they could add more value. Remains in contact with current employees.</t>
  </si>
  <si>
    <t>They will throw a lot at you.</t>
  </si>
  <si>
    <t>It's not worth it. The CEO and two other directors are described as the worst people to work for. They give a great sales pitch during interviews, but after the honeymoon period, they overwork employees. Staff turnover for such a small company is staggering, with most employees not lasting a year. The CEO is manipulative and a bully, frequently undermining and screaming at people in meetings while the other two directors allow it. The CEO also treats female employees inappropriately, making and sending inappropriate remarks on multiple occasions. Potential interviewees are strongly recommended to investigate the company's claims about its business and success, as there is a lot of smoke and mirrors.</t>
  </si>
  <si>
    <t>Stuck in the past with their operations.</t>
  </si>
  <si>
    <t>No pros for this company. Joining was the worst experience. The company teaches pathetic behavior towards employees, excels at providing fake reviews, and favoritism leads to poor team management.</t>
  </si>
  <si>
    <t>Worst manager. Management is poor at team management and providing increments. They ask for bonds if increments are needed. They don't know how to talk with experienced personnel, treating employees like puppets. Worst experience with HR and policies. All experienced developers have left the company.</t>
  </si>
  <si>
    <t>Friendly and helpful colleagues, strategic location, workload slightly lower than Big 4, good exposure to various audit engagements in various industries.</t>
  </si>
  <si>
    <t>Low salary compared to Big 4 or other mid-tier audit firms. Average staff benefits. High staff turnover.</t>
  </si>
  <si>
    <t>Smart people, great to work with, and easy collaboration.</t>
  </si>
  <si>
    <t>Managers are punitive, petty, and draconian.</t>
  </si>
  <si>
    <t>Strong product leaders and mentors to learn from. They were diligent in teaching how to write good PRDs and craft user requirements.</t>
  </si>
  <si>
    <t>As a large company, customary politics are present, becoming transparent during performance review times (twice-annual promotion/bonus assessment).</t>
  </si>
  <si>
    <t>Nice people and positive space</t>
  </si>
  <si>
    <t>Not very clean and needs improvement.</t>
  </si>
  <si>
    <t>Good work-life balance</t>
  </si>
  <si>
    <t>Low pay and lack of support.</t>
  </si>
  <si>
    <t>Good benefits, health initiatives, nice facility, great gym. Worked for some really great people.</t>
  </si>
  <si>
    <t>Employees are just numbers and feel disposable. There are mass hirings and layoffs. The company is built to impress shareholders.</t>
  </si>
  <si>
    <t>Favorites are rewarded with bonuses and promotions. Opportunity to make a difference in patients' lives. Good commute (not in the city). Excellent cafeteria food. Free parking. Good culture for politicians.</t>
  </si>
  <si>
    <t>Management identifies 'scapegoats' early in their careers and blames them when projects fail, taking no accountability. Scapegoats are eventually put into HR corrective action and fired. Even steady performers are eventually laid off, as the company only wants to keep the top 35% of the workforce. Overtime is expected without compensation. Employees are expected to 'volunteer' for extra work, otherwise they receive a bad review. Favoritism, not objective performance, is the management mantra.</t>
  </si>
  <si>
    <t>Nice company with a good working environment.</t>
  </si>
  <si>
    <t>Very strict in nature and work type.</t>
  </si>
  <si>
    <t>Checks are paid on time. Department management has a good understanding of how to run a business and treat customers fairly.</t>
  </si>
  <si>
    <t>The company is not proactive; everything is reactive and requires many hoops for approval. Concierge and permitting are horrendous. Obtaining tools and materials is difficult. Gas cards and Pep Boys accounts often don't work, requiring employees to pay out of pocket with promised reimbursement. Many issues could be avoided with proactive planning. Management doesn't listen to most employees unless they are close with top cronies. Many egos run the company, concerned with appearance rather than tangible value for employees or customers. The company has potential but seems not to care, applying only temporary fixes and rewarding poor planning and forcing jobs done incorrectly rather than good work and knowledge.</t>
  </si>
  <si>
    <t>Upper management prioritizes getting new products in-house over solving problems with existing product lines. Employees must follow customer demands to keep them happy, rather than doing what's right for a successful production line.</t>
  </si>
  <si>
    <t>Great place for career progression. Would work there again.</t>
  </si>
  <si>
    <t>Some employees interfere without permission. A manager told the reviewer that the time for mourning her husband's passing had lasted long enough, and she had to hide her grief from him and others to avoid further reprimand.</t>
  </si>
  <si>
    <t>Performance bonus is decent.</t>
  </si>
  <si>
    <t>Low pay, despite claims of industry average. Employees are advised to negotiate. The company has an 'extremely boomer' mindset, with older employees distrusting millennials. Ideas are often rejected as 'unprofessional' or 'not corporate enough,' and management tends to use their own ideas after asking for suggestions. It's a cheap company with zero employee welfare; pantry options are limited to water, and even coffee costs money. Despite earning millions, they cannot afford simple snacks or drinks, contributing to high turnover. Overtime is expected without pay, and a $5 meal allowance for overtime in the CBD office is insufficient. The company is seen as a sinking ship; management needs to change its mindset to retain younger generations.</t>
  </si>
  <si>
    <t>Full-time work-from-home. Super inclusive. Flexible start time up until 9:00 AM. Good amount of sick and holiday pay.</t>
  </si>
  <si>
    <t>New York Life wants employees to switch to working in the office. Work-life balance is very difficult due to high workload. Only one week of holiday pay can be used at a time; two-week vacations require special permission. No raise this year due to NYL merge.</t>
  </si>
  <si>
    <t>If you are part of the 'in crowd,' you can do anything you want.</t>
  </si>
  <si>
    <t>Cut-throat environment where everyone will throw you under the bus.</t>
  </si>
  <si>
    <t>Some of the people were nice.</t>
  </si>
  <si>
    <t>LFG exaggerated expectations during hiring. Training and support were lacking, and they did not reimburse for necessary study materials.</t>
  </si>
  <si>
    <t>They sometimes do not pay. Work-life balance is nonexistent; you work more than you are at home. Pay is not worth it, and sometimes they do not pay for days worked.</t>
  </si>
  <si>
    <t>They take care of employees. The team was good, leading to a positive experience at YASH.</t>
  </si>
  <si>
    <t>The notice period is 3 months long. No payment is given to employees after resignation, resulting in no pay for the entire 3 months. The full and final settlement statement is provided 15-20 days after the last day, and final payment takes another 20-25 days after formal acceptance, totaling 4 months without payment.</t>
  </si>
  <si>
    <t>Awesome coffee, great co-workers, discounted drinks.</t>
  </si>
  <si>
    <t>Employees must commit 3 to 6 months without vacation, as it's 'required.' One owner is described as a psychopath, while the other is kind. The unpleasant owner stares at employees from inside the store or across the street.</t>
  </si>
  <si>
    <t>Amazing clients, opportunity to build meaningful relationships. Recent pay increase for Case Managers made pay competitive. Manageable 40-hour work week; not expected to work excessive hours, nights, or weekends.</t>
  </si>
  <si>
    <t>No training whatsoever; the reviewer didn't meet their boss until the second week and was told to wait for a client. Super low employee morale and incredibly high turnover. LIHI makes no effort for retention, accepting that people leave quickly and then complaining about it. Gossipy/'mean girl' culture among upper management. Lack of transparency regarding supervision, leading to tense supervisory relationships. The new structure where property management supervises Case Managers is morally wrong and counterproductive; CMs are now expected to 'help' with evictions and rent collection, leading to feelings of punishment for advocating for tenants. Unclear expectations; written policies are nonexistent or inaccessible, and questions often go unanswered. Due to retention issues, they hire almost anyone, ignoring unqualified employees while targeting and punishing those who go above and beyond. General lack of compassion for the served population. Staff and supervisors talk about residents disrespectfully. The focus is on money; 'problematic' residents (addiction, mental health challenges) are targeted for eviction, leaving supportive services employees powerless. Armed security is present, and residents have been tased and verbally harassed, showing too much reliance on law enforcement for an organization claiming trauma-informed care. Each property feels isolated, with little interaction between staff from different locations, making the experience dependent on the assigned property.</t>
  </si>
  <si>
    <t>Lots of talented professionals to learn from. Management cares about employees. Flexible hours. Good career progression.</t>
  </si>
  <si>
    <t>Work can get hectic as release dates approach, which is considered normal. Salaries are not low but could be more competitive.</t>
  </si>
  <si>
    <t>Some of the best people to work with. Good benefits. Good work technology. On-site gym.</t>
  </si>
  <si>
    <t>Poor salary and compensation structure. Political atmosphere. Bad place for Senior Sales Representatives. No regular salary adjustments.</t>
  </si>
  <si>
    <t>Good distribution and service area, good products.</t>
  </si>
  <si>
    <t>Poor leadership, changes in quotas, restrictive allocation to clients in need. HR is horrible and does not support employee concerns.</t>
  </si>
  <si>
    <t>Intent to drive work-life balance, which they do an okay job at.</t>
  </si>
  <si>
    <t>Lack of executive leadership creates confusion. The relationship between leadership and the Board of Governors is contentious.</t>
  </si>
  <si>
    <t>Genuinely worthwhile job. Great colleagues. Great benefits. Great system for booking holidays and logging overtime. Great training. Hopefully, a flexible employer in the future, allowing good home-working (excellent during COVID).</t>
  </si>
  <si>
    <t>Clunky IT systems with many workarounds. Contradictory pressures to meet call completion and turnover targets versus doing the best for clients. Contradiction between emphasizing employee well-being and disciplinary measures for illness or absence. Poor opportunities for progression, as voiced by many longstanding employees; the charity tends to recruit externally for management roles.</t>
  </si>
  <si>
    <t>Standard benefits package, nice bonuses, kind coworkers.</t>
  </si>
  <si>
    <t>Very low pay. Management is controlling. More work than comparable firms. High turnover. Benefits could be more competitive. No merit-based promotions.</t>
  </si>
  <si>
    <t>New technology and ample parking.</t>
  </si>
  <si>
    <t>Too much 'dead wood' (underperforming employees) who are shifted among departments. Management and HR are aware but risk-averse, leading others to carry their workload.</t>
  </si>
  <si>
    <t>SHC has a good 401k match.</t>
  </si>
  <si>
    <t>The overall environment is stressful. Lab technicians in some facilities are poorly trained and many are unlicensed, with almost no consequences for errors. This is irresponsible and dangerous for patients.</t>
  </si>
  <si>
    <t>Great people, good opportunity for interns to learn many skills in a short amount of time.</t>
  </si>
  <si>
    <t>Company is run by interns, who are horribly underpaid. Bad management. Valuable people don't stay because post-internship offers are inadequate. Employees and interns are treated as enemies.</t>
  </si>
  <si>
    <t>Multicultural environment, opportunities for advancement and growth within.</t>
  </si>
  <si>
    <t>Long hours. Compensation is on the bottom half of the range. Schedule changes frequently.</t>
  </si>
  <si>
    <t>Good benefits available at the time. Occasional company lunches.</t>
  </si>
  <si>
    <t>Disorganized. High turnover. Unclear business goals. Favoritism. False promises. Shady business practices. Unprofessional HR team, with some members gossiping about private conversations.</t>
  </si>
  <si>
    <t>Community, work-life balance, global reach, longevity, diversity, friendly colleagues.</t>
  </si>
  <si>
    <t>Lower than average salaries. Silos. Slow to adopt new ideas. Lack of transparency.</t>
  </si>
  <si>
    <t>Constant changes. The boss lacks direction. Plans last only a few days. The company always imagines itself as a high-tech company.</t>
  </si>
  <si>
    <t>Young culture, fun coworkers.</t>
  </si>
  <si>
    <t>Only cares about gross profit, prioritizing patients with better insurance over Medicare patients. Management is unaware of day-to-day operations and provides no resources for success, yet expects hiring nurses while lowballing them. Grossly underpays during the 'training' period.</t>
  </si>
  <si>
    <t>Good mission and wonderful donors.</t>
  </si>
  <si>
    <t>Lower average pay, crazy hours, benefits could be better. Claimed 8-hour shifts often turn into 10-12 hours, 5 days a week.</t>
  </si>
  <si>
    <t>The people make the place worth working at.</t>
  </si>
  <si>
    <t>Management and the company do not care about people, including patients or workers.</t>
  </si>
  <si>
    <t>Opportunity to learn a little bit of everything by doing various tasks.</t>
  </si>
  <si>
    <t>Responsible for everything, from teller work to management tasks.</t>
  </si>
  <si>
    <t>Freedom to conduct work at your own pace.</t>
  </si>
  <si>
    <t>Poor management, poor salary, no increments, heartless HR, all talk and no action.</t>
  </si>
  <si>
    <t>Working with seniors and older adults is rewarding, the only good aspect of employment with Sequoia Living.</t>
  </si>
  <si>
    <t>Toxic management that belittles POC staff. White privilege and ageism are deeply embedded in daily practices, treating young people as less than.</t>
  </si>
  <si>
    <t>Employees are unfairly paid compared to other staffing companies. Management expects you to love your job and stay with the company forever.</t>
  </si>
  <si>
    <t>Transparent company, good attitude people, learned many things, great teamwork, amazing culture, love the office vibes.</t>
  </si>
  <si>
    <t>The new MD for the Thailand team is awful, lacks manners and empathy, and gossips about people. MD's planning skills are poor: never listens to teams, demanding without showing how to do tasks, complains often, disturbs work with new tasks, gives fake compliments, and sticks to ineffective plans. Her attitude towards the organization shows 100% focus on work and 0% on people; she overworks staff with no mercy and has zero supporting team skills. She is smart but not professional, with zero leadership skills. She judges others' work without reason and is close-minded to listening to those who know better.</t>
  </si>
  <si>
    <t>Pre-IPO bank based in San Francisco.</t>
  </si>
  <si>
    <t>Varo, despite calling itself a fintech, operates like a penny-pinching, slow-moving regional bank. While it claims over 4 million customers, only a small portion are daily active, with most accounts having double-digit or zero balances. Targeting unbanked and low-income segments is noble, but this segment is expensive and unprofitable for banks. Varo generates revenue through ATM fees, effectively "leeching" from poor people, and is unlikely to become profitable, relying on VC money. Unlike other new banks that focus on growth before charters, Varo spent over $125 million on a bank charter, which now makes it expensive to operate due to regulations. It compares itself to SOFI, valuing its stock at $7.88, but SOFI is 8 times larger and profitable, with its stock at $6.5 (Aug 2022). Money Lion, 3 times larger, is at $1.25. The reviewer believes Varo is a penny stock. Furthermore, Varo's diversity and inclusion efforts are only for marketing; the reviewer observed a lack of people of color in leadership (CEO, CPO, CMO) during their 6 months there, describing it as a "complete whitewash" despite some Chinese and Indian employees.</t>
  </si>
  <si>
    <t>Some cool clients, opportunity to learn quickly with the right manager, and good digital offerings.</t>
  </si>
  <si>
    <t>Incredibly top-heavy environment, understaffed at lower levels. Opportunities seem to lessen with progression. Promised opportunities, like working abroad, are harder to achieve than stated. Training and development are not as promised. Expectations are too high, leading to no work-life balance and very high stress. Management is stingy and disregards the well-being of junior staff. Not recommended for anyone at SAE level or below.</t>
  </si>
  <si>
    <t>Good pay, including hourly wage and commission. The product often sells itself.</t>
  </si>
  <si>
    <t>Commission can bring out the worst in people. Management failed to maintain fairness, allowing some employees to stay in high-volume sales areas all day without fair rotation.</t>
  </si>
  <si>
    <t>Each program office at DOE has its own culture; some are much better than others. Research thoroughly to avoid heartache.</t>
  </si>
  <si>
    <t>Good money can be made remotely if you work hard.</t>
  </si>
  <si>
    <t>After 3 years without catching COVID, I became ill on a Thursday. On the following Friday, I sent an email that was apparently not received or responded to. I was then locked out of my work email. Three days later, I received an email to my private account instructing me to return all equipment.</t>
  </si>
  <si>
    <t>The company has a large portfolio of products to sell.</t>
  </si>
  <si>
    <t>Toxic work environment fostered by the owners, who show zero respect for employees. Antiquated systems provide no clear, accurate reporting for sales or inventory. Owners focus only on the top 2-3 retailers, neglecting others' shipping performance. Management hierarchy is not followed or respected, contributing to the toxic environment; only the three brothers' opinions matter, making position titles meaningless. HR is completely ineffective, acting as a mouthpiece for the owners and doing nothing to improve the culture.</t>
  </si>
  <si>
    <t>Fast-paced, casual workplace (if preferred), opportunity for job title advancement, and access to extremely knowledgeable individuals for learning.</t>
  </si>
  <si>
    <t>Slow career growth, with job title promotions not equating to pay increases. Poor support from upper management for team leads. The company hires indiscriminately, leading to many unqualified people and difficulties in closing loans. Temp agencies also fail to vet candidates properly.</t>
  </si>
  <si>
    <t>300‚Ç¨ monthly pay and one banana a month.</t>
  </si>
  <si>
    <t>Getting to know the residents.</t>
  </si>
  <si>
    <t>Lazy, low-skilled, and untrained workers are handing out medications to residents. PSWs run the entire building, while management sits in the office all day. The environment will destroy your mental health.</t>
  </si>
  <si>
    <t>No work-life balance, minimal pay increases, and lack of proper training. Upper management is out of touch with processes, and there is no loyalty to employees. The company dictates how employees should answer their reviews.</t>
  </si>
  <si>
    <t>Wonderful people to work with, great benefits, and a very mission-focused team.</t>
  </si>
  <si>
    <t>Job security is lacking (though transparently communicated upfront), and the environment is very fast-paced, requiring employees to start at a sprint.</t>
  </si>
  <si>
    <t>Easy workload, normal retail duties, and entertaining customers.</t>
  </si>
  <si>
    <t>Low pay, poor management, communication issues, minimal benefits, limited growth opportunities, and small-minded superiors (including corporate).</t>
  </si>
  <si>
    <t>Exposure to an exciting technological environment. Colleagues have varied experience and backgrounds, with multinational teams requiring mastery of conference calls. Nice perks include a company car and insurance. Team events are held in nice locations, indicating no budget issues. Salary was good for the position, though not extraordinary.</t>
  </si>
  <si>
    <t>The company is technically ill-equipped for staff to perform tasks satisfactorily; budgets are prepared in convoluted Excel files. There's no investment or thought put into evolving the finance function to match company aspirations. Finance teams partner with a US-based support accounting team, leading to difficulties in correcting errors as they have different management and are unresponsive. No technical training is provided for staff. The actual role differed from what was presented during the interview, leading to unmet expectations. The environment is slightly toxic, with office politics consuming much time and energy. Staff have a dual reporting line to their finance leader and country manager, creating conflict.</t>
  </si>
  <si>
    <t>Most supportive group of people. They help you stay aware of your contribution and its impact on the company.</t>
  </si>
  <si>
    <t>Due to volatility in the auto industry, it's a lean company, meaning no coffee, snacks, or administrative help; employees are self-reliant. This was a shock initially, but the reviewer respects the ingenuity.</t>
  </si>
  <si>
    <t>Challenging technical environment, with lots to learn and interesting technology.</t>
  </si>
  <si>
    <t>No oversight of mid-level managers. If resources are not properly allocated, staff are fired. There is no support for the substantial learning curve, and mentoring is a joke.</t>
  </si>
  <si>
    <t>Great community; everyone is super nice and often went out for lunch, with many company-wide events.</t>
  </si>
  <si>
    <t>Often, I found myself working very late hours due to pressure from supervisors to stay.</t>
  </si>
  <si>
    <t>Decent pay for the job.</t>
  </si>
  <si>
    <t>Management's favoritism can bring the company down.</t>
  </si>
  <si>
    <t>Good training, great software, and nice people.</t>
  </si>
  <si>
    <t>50-75% travel (potentially higher pre-COVID). Opportunities for progression might be tenure-based rather than ability-based.</t>
  </si>
  <si>
    <t>Great location, great employee benefits (though decreasing), amazing micro-management-free direct supervisor, opportunity to interact with world-class specialists, above-average salary, and good work-life balance.</t>
  </si>
  <si>
    <t>Complete disconnection between C-levels and market reality. Several incompetent 'head of' and managers are never challenged by the board due to cronyism. Constant internal power/political wars make it the most political company the reviewer has worked for. Most departments work in silos and dislike collaborating. Overall green and pink washing. A 'boomer mindset' with old white males acting as know-it-alls. Colleagues frequently go on sick leave due to burnout, indicating total HR mismanagement. It's hard to understand how such a decaying company remains successful; they are very lucky.</t>
  </si>
  <si>
    <t>I was excited to start, as it looked great from the outside. However, General Managers are angry bullies. Staff turnover is incredibly high, like a turnstile.</t>
  </si>
  <si>
    <t>Large company in San Diego with intelligent, hardworking employees. Support is given to employee groups interested in different areas.</t>
  </si>
  <si>
    <t>Leadership has been trending downwards for a long time. There are an incredible number of terrible managers across the company; some are incompetent, and at worst, some are downright toxic and awful. The company somehow values this.</t>
  </si>
  <si>
    <t>The CEO balances work and life well for employees and recently hired good people for the Senior Leadership Team. Care for parents during COVID was great. The pace of innovation is excellent, providing many talking points with customers. Elastic offers health cover benefits, but no benefits like gym or salary sacrifice.</t>
  </si>
  <si>
    <t>Multiple APAC leadership positions have been vacant for 9 months; management lacks contacts or a talent list for recruitment. There's no Customer Success function for most regional customers, yet one person gets paid for all your work. Poor collaboration between teams, with many doing minimal work. Sales teams lack support due to a strong focus on a remote distributed workforce, leading to a weak team culture. Many people focus on themselves and KPIs rather than customer or company goals. Teams like order ops/deal desk are unhelpful, dictating sales approaches without understanding actual sales. No HR in the region for one year. Strong ultra-left leaning ideology.</t>
  </si>
  <si>
    <t>Smart and capable people in the team.</t>
  </si>
  <si>
    <t>Lack of visibility over future career within the firm.</t>
  </si>
  <si>
    <t>Enjoyed management's hands-off approach, which allowed for creative exploration of solutions. The company does not adhere to a 'one size fits all' mentality.</t>
  </si>
  <si>
    <t>High and extremely involved workload.</t>
  </si>
  <si>
    <t>Enjoyed working here and would love to return. It's a genuinely good team environment where everyone works together and looks out for each other. Supervisors were nice, helpful, and genuinely interested in reducing stress. Pay was fair, and coworkers were excellent, making days more fun.</t>
  </si>
  <si>
    <t>Very limited hours, with most professors only given part-time hours, which is insufficient for sustenance; many coworkers had multiple jobs. Not ideal for advancement opportunities, as promotions are very rare (though the reviewer was one of the few promoted). The company generally prefers to hire student workers through their work-study program, which the reviewer finds 'scummy'.</t>
  </si>
  <si>
    <t>One-on-one meetings with clients, follow-up on sales and sales improvement, creation of new client base, direct meeting of client expectations, and solving logistic issues.</t>
  </si>
  <si>
    <t>Delays in deliveries and non-payment/bounced checks.</t>
  </si>
  <si>
    <t>Solid Senior Management empowers people, recognizes achievements, and tolerates mistakes for learning. Offers competitive compensation and benefits package, with many growth opportunities.</t>
  </si>
  <si>
    <t>In constant transformation, which requires a high level of adaptability from employees.</t>
  </si>
  <si>
    <t>Benefits, competitive wage, and some nice people.</t>
  </si>
  <si>
    <t>Literally terrible work environment. Only 5 sick days per year; subsequent illnesses require a doctor's note to avoid a write-up. Stats and bonuses are entirely sales-dependent, even for loyalty/customer care roles. They negatively track callbacks within one week and cancellations within 60 days, as well as agent-initiated cancellations. The company prioritizes phone sales. Failure to meet stats results in a 'performance plan' or termination, despite stats supposedly being for bonus encouragement. This pressure leads agents to lie about phones and plans, causing later escalations and callbacks. It's a horrible system.</t>
  </si>
  <si>
    <t>Pay, hours, benefits, and flexibility of shifts.</t>
  </si>
  <si>
    <t>Managers are untrained and largely clueless about procedures.</t>
  </si>
  <si>
    <t>Treats employees well, and politics were minimal.</t>
  </si>
  <si>
    <t>Too many projects happening at once.</t>
  </si>
  <si>
    <t>Great pay and very good benefits.</t>
  </si>
  <si>
    <t>Most people are great to work with. The owner does good things and is good to her employees.</t>
  </si>
  <si>
    <t>I requested time off for my daughter's wedding, but was told I could have used PTO or sick time, which I had. Legally, I could have left because the email only specified working on Saturday, not Friday afternoon. An employee sleeping on the job was never addressed, despite handbook rules. This indicates favoritism. The AR department's handling of accounts could cause 3 major companies to leave 84 Lumber, posing a huge problem. There should also be an option to respond after a review. The reviewer claims to have proof.</t>
  </si>
  <si>
    <t>Free food and great friends.</t>
  </si>
  <si>
    <t>This place shows no care for students, who are treated as disposable despite being essential to the company's existence. They overwork students, disregard their school schedules, and expect 110% effort daily. Upper management is completely unprofessional but expects employees to be professional, which is insane.</t>
  </si>
  <si>
    <t>Genuinely customer-focused legal team. Direct team had a great culture and goals. Tabcorp was genuine in harm-reduction and doing the right thing. CEO is well-regarded amongst the team. Above-average remuneration.</t>
  </si>
  <si>
    <t>Poor leadership within the legal department, with team leaders not receiving necessary support from the Group General Counsel (GGC). The GGC was erratic and operated as a 'lone wolf' rather than supporting the team. Tabcorp leadership was unsupportive during COVID, prioritizing company finances over team well-being. Lack of career development, with outside talent preferred. Outdated systems and processes led to burnout and poor work-life balance. Work was heavily focused on 'putting out fires'.</t>
  </si>
  <si>
    <t>PTO, work from home, and Summer Fridays.</t>
  </si>
  <si>
    <t>Management, HR, culture, and pressure from leaders.</t>
  </si>
  <si>
    <t>The pay is the only good thing.</t>
  </si>
  <si>
    <t>Too much work, no time for family.</t>
  </si>
  <si>
    <t>The company supported employees and their dependents during COVID by arranging oxygen, beds, and other necessities. They also offered the option to receive the next 6 months' salary in advance for those affected by COVID, showing great support.</t>
  </si>
  <si>
    <t>The job role experience depends on the team; not all teams are good. My team lead doesn't even know basic tasks like 'git push' and dumps work on me if he can't do it. Leads enjoy their jobs like government employees. I've received no support from him regarding the codebase; instead, I guide him. Salary hikes are very low, a common complaint. No goodies or perks are provided. Promotions are annual, unlike some companies with quarterly promotions.</t>
  </si>
  <si>
    <t>Some may find it beneficial not to have a strong company culture, allowing one to hide, which is good for introverts.</t>
  </si>
  <si>
    <t>Geographically fragmented teams (developers from India, US, and EU) are not co-located, leading to constant timezone issues. The company lacks processes and is driven by micromanagement. No one cares about code quality or maintainability; the attitude is to get things done as soon as possible. Few actual seniors were encountered, mostly juniors and mid-level developers, even if they called themselves senior. Scrum/Agile methodologies are not taken seriously; the reviewer had no retrospective meeting for a year. Competent employees will be frustrated by the low-quality code produced.</t>
  </si>
  <si>
    <t>Opportunity to meet many people and make friends. Gain experience in various aspects in and out of the warehouse. Surprisingly great healthcare options.</t>
  </si>
  <si>
    <t>Everything else is negative. The company website portrays a false image of robots, clean warehouses, and friendly faces. In reality, there are no robots, forklifts are old and falling apart, politics are astounding, and pay is not competitive. Favoritism is rampant; if you're not a favorite, knowledge and experience don't lead to advancement. Employees work 50-60 hours a week until burnout. Entire project management and warehouse teams have resigned or found other jobs.</t>
  </si>
  <si>
    <t>Fantastic pay, flexible with school schedule, and generally enjoyable.</t>
  </si>
  <si>
    <t>Self-checkout work and refusal to grant time off.</t>
  </si>
  <si>
    <t>Learn a lot due to high demands.</t>
  </si>
  <si>
    <t>Paid handsomely to do absolutely nothing for several months. Sat next to some of the nicest Capital Market Technology PM ladies. Self-initiated study led to vast knowledge of US and Canadian regulations, particularly the Dodd-Frank Act, which will be useful for future contracts. Hours were quite stable.</t>
  </si>
  <si>
    <t>Hired as a senior Project Manager for a massive, company-wide US regulatory initiative, with promises of significant work and travel. Despite daily requests for work, received little to no direction, and was reprimanded for proactive efforts. Manager and program manager lacked collaboration and communication skills; the program manager was particularly unmethodical, disorganized, and openly hostile in meetings. The project group faced constant criticism. After several months, was let go for 'not meeting work requirements'.</t>
  </si>
  <si>
    <t>Some good people work there, and a company van is provided.</t>
  </si>
  <si>
    <t>Stressful blame culture. Lack of diversity respect: during furlough, the reviewer was made to use 10 holidays, and when explaining they use holidays to visit family abroad, was told it was company policy. Fake promises to retain employees. Poor management constantly blames ground staff. Poor inter-departmental communication causes serious problems. Heavy workload.</t>
  </si>
  <si>
    <t>Fear of rats, with over 20 in the warehouse. Absolutely no room for growth; managers keep employees doing mindless, repetitive tasks. Direct managers are not supportive and take credit to impress the owner. Nothing to learn, as most upper managers lack Excel skills or education. Pay is not even remotely close to industry averages. Proposals for company improvement are ignored. Managers berate and call employees names, and often browse phones instead of working. False promises of career advancements, wage increases, and work-from-home options. Widespread gossip throughout the toxic company, originating from upper management. Managers refute past promises by twisting words. Forced office culture with frequent desk rearrangements and obnoxious techno music played for 5+ hours. Micromanagement even for elementary tasks. Extremely high turnover. Managers consistently choose options that decline revenue due to lack of experience. Air conditioners were never on to save costs, making the warehouse and office like ovens even above 30 degrees.</t>
  </si>
  <si>
    <t>Yearly paid annual vacation with free two-way airline tickets, housing, and a company car provided.</t>
  </si>
  <si>
    <t>Racism, cultural indifferences, long hours of duty, and no incentives for my position.</t>
  </si>
  <si>
    <t>Good coworkers and benefit package.</t>
  </si>
  <si>
    <t>Management can be narrow-minded.</t>
  </si>
  <si>
    <t>A lot of hours. Easy to call for help during training.</t>
  </si>
  <si>
    <t>Not flexible, rude management, over-scheduled for part-time position.</t>
  </si>
  <si>
    <t>So many cons they don't fit here; an inhumane workplace.</t>
  </si>
  <si>
    <t>Money was great.</t>
  </si>
  <si>
    <t>60+ hours a week, all-night driving. Could not get off nights despite trying repeatedly for a shift change.</t>
  </si>
  <si>
    <t>Good atmosphere and support. Extensive training and investment in employee development.</t>
  </si>
  <si>
    <t>Great benefits, extremely good equipment.</t>
  </si>
  <si>
    <t>Salary is much lower than the position requires. Leadership is not very participative in field work.</t>
  </si>
  <si>
    <t>Coworkers are great.</t>
  </si>
  <si>
    <t>Haphazard business operations. Over-recruitment and forced redundancies due to poor post-COVID planning. Distressing redundancy process (8-minute call, told to shut laptop, no further human contact). CEO believes culture is fantastic, but attrition rates are over 75% for employees and 110% for drivers. Logistics management is uninterested in people, paying self-employed drivers only for planned hours (e.g., 10 hours for a 13-hour route). Company encourages happy employees to write good reviews to combat negative feedback. Lack of trust in employees, evidenced by changes to hybrid working policy (from any 2 days to specific 3 days in office).</t>
  </si>
  <si>
    <t>Good HR support and supportive coworkers.</t>
  </si>
  <si>
    <t>Extremely meeting-heavy culture, inadequate staff and resources. Executive leadership gives directives that don't make sense, causing employees to suffer.</t>
  </si>
  <si>
    <t>Good working environment, good opportunity for professional career growth, good salary.</t>
  </si>
  <si>
    <t>Sometimes you have to work extra hours. You have to deal with some customers' mind changes.</t>
  </si>
  <si>
    <t>Nice colleagues, generally fair superiors.</t>
  </si>
  <si>
    <t>American management, meaningless reporting tasks.</t>
  </si>
  <si>
    <t>People-oriented, good salary, great management.</t>
  </si>
  <si>
    <t>Long hours of work, work-life balance is not easily met.</t>
  </si>
  <si>
    <t>Part-timers are offered benefits. Fair vacation time allocation, swapping yearly so everyone can get holidays off.</t>
  </si>
  <si>
    <t>Sales requirements are too high, even with slowing sales trends. Inconsistent enforcement of rules; other branches/people don't get in trouble for breaking rules, but you do. Too much politics.</t>
  </si>
  <si>
    <t>Very relaxed work, requires no intellectual effort.</t>
  </si>
  <si>
    <t>A cog in the machine, no room for personal development, hardly any evaluations or feedback.</t>
  </si>
  <si>
    <t>People at the bottom did all the work and were not compensated for it.</t>
  </si>
  <si>
    <t>Competitive salary, great teamwork, supportive management. Free online training/inservices. Great retention rates.</t>
  </si>
  <si>
    <t>Salary, prestige of the name which has great value on the CV.</t>
  </si>
  <si>
    <t>No set hours. Calls at any time.</t>
  </si>
  <si>
    <t>Role flexibility, smart coworkers, hard work.</t>
  </si>
  <si>
    <t>Politics, unclear strategy, lack of organizational clarity.</t>
  </si>
  <si>
    <t>Less burden, committed to shift timing, well-trained managers.</t>
  </si>
  <si>
    <t>Poor pay rate and no career advancement.</t>
  </si>
  <si>
    <t>Terrible company. Management did not visit site offices for 6 months. Sink-or-swim attitude for new hires.</t>
  </si>
  <si>
    <t>Helping small businesses have a voice.</t>
  </si>
  <si>
    <t>District manager is unprofessional: did not introduce himself, insisted a female drive with him, smoked despite being told of asthma, rushed interactions, focused solely on money. Employees need to be paid for the 40 hours it takes to learn the sales pitch.</t>
  </si>
  <si>
    <t>Strong pension and acceptable salary.</t>
  </si>
  <si>
    <t>Rarely feel successful, hard work often goes unnoticed. Experience and market expertise can be ignored. Progression beyond a certain level requires navigating internal politics, making it a job, not a career.</t>
  </si>
  <si>
    <t>Learned a lot about global financial markets, derivative products, and their pricing mechanisms.</t>
  </si>
  <si>
    <t>Health insurance, flexibility, good original boss.</t>
  </si>
  <si>
    <t>Bad pay, poor communication, drama.</t>
  </si>
  <si>
    <t>The people you work with.</t>
  </si>
  <si>
    <t>Insane employee turnover, very few people last beyond 3 months. Hired for one job, but assigned to do something else.</t>
  </si>
  <si>
    <t>Comfort, flexibility, remote work, good benefits, professional opportunity.</t>
  </si>
  <si>
    <t>Favoritism, poor management, unjustified pressure in marketing.</t>
  </si>
  <si>
    <t>Made lifelong friends.</t>
  </si>
  <si>
    <t>Internal politics are prevalent. Long-term survival requires aligning with certain influencers, especially during downsizing reviews.</t>
  </si>
  <si>
    <t>Excellent company for stability, comfort, and long-term tenure in the same position. Job security and always seeking employee benefits.</t>
  </si>
  <si>
    <t>Very static organizational structure, no professional growth in compensation or internal scaling. Subjective decisions based on personal criteria of a few individuals, especially in financial decisions.</t>
  </si>
  <si>
    <t>Work-from-home roles available.</t>
  </si>
  <si>
    <t>Some roles offer no support and no options for advancement.</t>
  </si>
  <si>
    <t>Good and not too stressful.</t>
  </si>
  <si>
    <t>Hated the rotten fruits.</t>
  </si>
  <si>
    <t>Good exposure to different elements of portfolio management.</t>
  </si>
  <si>
    <t>Chief Investment Officer (CIO) is a contemptuous and obnoxious bully. Shocking culture with 1980s work practices. Discrimination based on mental health and parental responsibility, with inept HR. Bullies are protected. Pay is well below market standard with no upside. A sinking ship that will destroy mental health.</t>
  </si>
  <si>
    <t>Salary paid on time.</t>
  </si>
  <si>
    <t>Management lacks common sense.</t>
  </si>
  <si>
    <t>Decent benefits (medical, retirement plan, fair PTO accrual). Nice building. Barbara and Jonathan (if still there) are compassionate, empathetic, fun, and helpful.</t>
  </si>
  <si>
    <t>Nepotism is rampant; people are hired without real interviews. Management's excessive focus on production numbers creates a toxic environment, especially in the laboratory, leading to decreased accuracy. Limited opportunities for advancement past lab tech due to verbal abuse and toxicity from leads. Lack of further training due to 'job security' mentality. A new 'tyrant' may be emerging. CEO stated, 'employees don't need to be happy in order for the company to make revenue.' Rumors of people sleeping their way to the top.</t>
  </si>
  <si>
    <t>Let go without warning, explanation, improvement plans, or coaching. Employees are disposable.</t>
  </si>
  <si>
    <t>Fantastic atmosphere, felt welcome from day one. Received training and help from line and senior managers. Direct contact with the MD who provides support and even cooks lunch for everyone.</t>
  </si>
  <si>
    <t>Travel became too much after moving.</t>
  </si>
  <si>
    <t>Good location, salary, benefits, and flexible schedule.</t>
  </si>
  <si>
    <t>Unfriendly people and favoritism.</t>
  </si>
  <si>
    <t>Good benefits, company parties, and weekly short massages.</t>
  </si>
  <si>
    <t>Manipulative, selfish owners who look down on others. Vertical movement depends on sucking up to bosses, being loud, and letting work intrude on personal life. High employee turnover. Owner makes daily lewd remarks, requiring HR to follow him. Tokenism with minority employees, whose names he forgets. Female employees made 20% less than male new hires, with management aware and turning a blind eye. Senior employees openly admitted to racism/sexism. Scandals involving favorite employees being bailed out of jail and covered up. Passive-aggressive tension and constant threat of termination.</t>
  </si>
  <si>
    <t>Awesome products and talented, mission-driven people. Great camaraderie between peers.</t>
  </si>
  <si>
    <t>Terrible leadership. CEO manipulates, abuses, and threatens staff, makes unfulfillable promises to customers, and is self-serving. High C-Suite turnover due to CEO's ego. C-Level executives milk the system, spending time on personal matters while earning high salaries. Nepotism is prevalent, with unqualified friends hired into key positions. Leadership avoids responsibility. Over 100 people laid off via a callous Teams call before Christmas, with no apology from the CEO, followed by public bonuses for remaining staff. Reckless hiring practices lead to sidelined careers; new hires are constantly overlooked for newer talent. No desire to upskill existing talent. Management manipulates Glassdoor ratings. Too many managers with fancy titles but little competence. Over 100 families affected by layoffs, with South African employees still awaiting severance. Management sells dreams, derails careers, and lies. Complete loss of trust in management.</t>
  </si>
  <si>
    <t>Healthy, active, and engaging culture. Smart, hardworking, and genuinely nice engineers. CTO is highly competent (FAANG caliber). Low engineering turnover rate (around 5% per year). Flexible work: two days per week in office, two months remote anywhere. Internal promotions. High-quality systems built by caring engineers. Major scale rewrites to eliminate technical debt (e.g., search function rewrite involving 60% of engineering team). CEO is nice, approachable, and actively engages employees.</t>
  </si>
  <si>
    <t>Some tech leads need leadership/people skills training, though there's an ongoing effort to address this.</t>
  </si>
  <si>
    <t>Excellent CEO. Everyone worked super hard.</t>
  </si>
  <si>
    <t>Constant pressure, typical for a startup.</t>
  </si>
  <si>
    <t>No micromanagement at any level.</t>
  </si>
  <si>
    <t>Leadership seems a bit clueless.</t>
  </si>
  <si>
    <t>The job was not particularly complex.</t>
  </si>
  <si>
    <t>Management is power-mad and lacks subject matter knowledge. Very poor wages, no room for progression. Minimal pay raises, usually below inflation. No investment in contracts, leading to overworked staff and lost contracts, as the company prioritizes short-term profits over reputation and winning new business.</t>
  </si>
  <si>
    <t>Excellent coworkers; underappreciated yet loyal and hardworking.</t>
  </si>
  <si>
    <t>Felt like an object, less than a number. Constant pay cuts, lack of planning, pointless performance reviews, insane holiday overtime, denied PTO requests, virtually no training for new hires, and egotistical managers. Remote work approvals were revoked, forcing employees back to the office or termination, with no exceptions for special circumstances (e.g., military spouses), despite being a veteran-owned and 'military-friendly' company. Management lectures employees when concerns are raised, always claiming to be right. Performance reviews were meaningless, with no feedback or progression. Pay cuts made the 'competitive wage' uncompetitive, with funds seemingly diverted to event prize purses. Resignation was not acknowledged by management, and no one from management spoke to the employee on their last day, indicating a complete lack of care.</t>
  </si>
  <si>
    <t>Great hours, lots of overtime available. Easy to get along with, understanding, and caring staff.</t>
  </si>
  <si>
    <t>Many hours, which some employees dislike.</t>
  </si>
  <si>
    <t>Leadership destroyed the company culture. Overworked and stressed, the money is not worth it.</t>
  </si>
  <si>
    <t>Best remote work environment. Professional, down-to-earth managers who encourage employees to be their best.</t>
  </si>
  <si>
    <t>Terrible pay, but manageable with enough overtime.</t>
  </si>
  <si>
    <t>Good benefits (Stayfit, healthcare). Stable job environment with high retention and seasoned coworkers. Stable company with many product areas. Prestige of working for an iconic company.</t>
  </si>
  <si>
    <t>Limited room for promotion or growth. Competitive environment where management expects constant overwork. Discouraged from exploring other teams or transferring divisions. Lack of management support for exploring new tools or technologies. Lots of redundant, menial work that should be automated, but no bandwidth provided. Existing tools are slow or error-prone, needing improvement, but no bandwidth provided. Poor onboarding for new employees within the team, lacking training materials and integration outreach.</t>
  </si>
  <si>
    <t>No work-life balance; required to work late nights and weekends without additional compensation, violating labor laws. CEO is selfish, headstrong, vapes in meetings, demands obedience, and seeks personal praise, leading to job insecurity if questioned. Employees can be terminated immediately without notice or severance, regardless of performance, if they challenge the CEO's practices. The company lacks ethics, prioritizing ego and treating employees like slaves. A co-founder executive left due to immoral practices. The company does not care about employees or their families, constantly pushing for more. Employment terms and conditions heavily favor the company, with no respect for employees or labor laws.</t>
  </si>
  <si>
    <t>Nice coworkers and a good salary.</t>
  </si>
  <si>
    <t>Great top leaders, including the CEO and upper leadership.</t>
  </si>
  <si>
    <t>Vision does not translate down. The company is slow to innovate or stay competitive and does not utilize people to their full potential.</t>
  </si>
  <si>
    <t>Approximately 70 minutes of paid breaks per 8-hour shift. Everyone is friendly. Production goals are realistic but require effort. $18/hour for unskilled labor is pretty good.</t>
  </si>
  <si>
    <t>Required safety glasses. Employees should get their own pair, as they are much better than the ones provided.</t>
  </si>
  <si>
    <t>Many opportunities to grow within such a large company.</t>
  </si>
  <si>
    <t>Oracle's business lines do not permit free access to internal company education within this same organization.</t>
  </si>
  <si>
    <t>Great colleagues, active attempts from people on the floor to create the best possible environment. Product is okay and there is good attention to end-user needs and UX/Design.</t>
  </si>
  <si>
    <t>Senior Management has no idea how to run a company, let alone scale one fast. There are some good people in middle management, but serious problems exist at the top of the company. The company is heading towards command and control, which will likely worsen now that competition is getting serious after the pandemic. Hiring and recruitment is a trainwreck. It's a software product company but there is little to no value placed on quality engineering at scale, with multiple layers of patchwork and no incentives to clean up. It's a badly run feature factory. Everything is considered important and urgent, which means nothing truly is. The company is growing rapidly but not managing those changes effectively. Communication is extremely bad, lacking most real information. There is a cheerleader culture. Nice values are stated but not lived up to.</t>
  </si>
  <si>
    <t>Nothing, maybe during the Graduate Engineer Trainee (GET) period, you might enjoy it, but even that enjoyment is diminished by having to travel 80 km (3.5 hours daily) from your residence to the refinery due to traffic jams.</t>
  </si>
  <si>
    <t>Everything is a con. Any aspect of the job is a con. It is destroying the careers of young engineers. If you want to destroy your career, especially if you are from IITs or NITs, come here; if you want to build a career, do not come here.</t>
  </si>
  <si>
    <t>Good work-life balance, mostly friendly peers, and friendly and patient directors who avoid micromanagement.</t>
  </si>
  <si>
    <t>Very unorganized with high turnover. A small percentage of people do almost all the work with no accountability from leadership to keep teams balanced. Upper Management is out of touch with their employees and daily functional systems.</t>
  </si>
  <si>
    <t>Good people, amazing benefits, a solid place to work, and good work/life balance.</t>
  </si>
  <si>
    <t>Serious bureaucratic tendencies, and bonuses depend a lot on how favored your department is by senior management.</t>
  </si>
  <si>
    <t>Great package, great benefits, great lifestyle company. An excellent place to work hard and earn a lot, but not great if you want to develop as a person.</t>
  </si>
  <si>
    <t>You must devote a lot of home real estate to make a 'home office'. Out-of-hours work for no extra pay. No clear development strategy.</t>
  </si>
  <si>
    <t>I worked as an Engineer at Everlywell for over 3.5 years and thoroughly enjoyed my time there. I witnessed the company's significant growth and appreciated its consistent transparency through all-hands meetings, reports, and announcements. This transparency provided high exposure to business operations, relevant KPIs and metrics across departments, and key strategies for achieving aggressive goals, which was very educational. This understanding allows teams a high degree of autonomy in delivering work; teams know what data is relevant for success and are encouraged to determine how to achieve it, making work more rewarding and interesting. Teams are free to use appropriate methodologies and can change them if they don't work. While there have been challenges, the company actively seeks feedback ("What can we do better? What's working? What isn't working?") and acts on it. There are many avenues for employees to voice opinions, including anonymous and public Q&amp;A, 1-on-1s, surveys, and polls. The tech stack is modern and enjoyable, with an effective CI/CD pipeline simplifying deployments and preview environments. They utilize feature flags, A/B testing, a Design Language System, interaction metrics, automated testing, observability, and real user monitoring, offering many opportunities for hands-on experience with relevant technologies. Everlywell strives to keep employees engaged, especially during the pandemic, through DEI ERGs and the Product + Engineering Culture Committee, offering valuable activities. The company acknowledges global events, fostering a sense of humanity. Even fully remote, I felt engaged and part of a team without it feeling forced. Overall, Everlywell is a great place to work with cool people, learn a lot, and make a big impact. Additional Pros include unlimited PTO (never an issue getting time off), company match for charitable donations, free tests, an educational stipend, and full-time remote work.</t>
  </si>
  <si>
    <t>There can be many meetings, though the CEO encourages declining those without an agenda. A strong emphasis on OKRs and goal setting, while beneficial for career growth, creates additional administrative work, making it hard to focus on other tasks. Minimizing context switching has been challenging due to the fast pace and being pulled in multiple directions, impacting focus. Attending meetings with cameras on is heavily encouraged, which can be a minor annoyance for some. Teams tend to change frequently, making it difficult to move past the forming stage and achieve predictability, a symptom of fast growth. The sheer volume of ongoing work can be overwhelming, requiring a constant balancing act, though there has been a positive shift towards more focused team directions recently. Most of these cons are likely common in fast-growing companies, but Everlywell is noted for its efforts to smooth out these unavoidable challenges.</t>
  </si>
  <si>
    <t>Fast-paced environment, opportunities for quick learning, and a lot of work.</t>
  </si>
  <si>
    <t>Little pay for a lot of work.</t>
  </si>
  <si>
    <t>No work-life balance, with a 6-7 day work schedule.</t>
  </si>
  <si>
    <t>Everything about this company is good.</t>
  </si>
  <si>
    <t>Nothing in this company is bad; everything is good.</t>
  </si>
  <si>
    <t>The other area development managers.</t>
  </si>
  <si>
    <t>The inexperienced management team was rude and lacked empathy.</t>
  </si>
  <si>
    <t>Worked as a Treasury trader, focusing on offshore funding and portfolio management.</t>
  </si>
  <si>
    <t>Very good boss and top workers.</t>
  </si>
  <si>
    <t>Great company, great benefits, great pay.</t>
  </si>
  <si>
    <t>Great company with schedule flexibilities.</t>
  </si>
  <si>
    <t>There is definitely too much bureaucracy. It would be a better ecosystem if management had mutual respect for staff. The overall environment is laced with fear when it doesn't have to be.</t>
  </si>
  <si>
    <t>Gift vouchers, social security benefits.</t>
  </si>
  <si>
    <t>Too much work, pressure from the boss.</t>
  </si>
  <si>
    <t>Great team and support within the team.</t>
  </si>
  <si>
    <t>Too much focus on call times rather than helping the customer. Too much focus on scripting. High turnover of staff and management.</t>
  </si>
  <si>
    <t>Now that they have moved to a new location and the picking sequences have changed, there is a lighter workload.</t>
  </si>
  <si>
    <t>There is more work now, with no gaps in work performance. Pepsico has found a way to make the human body work like pure robotics. Employees are discouraged from showing human emotion, as it goes against the system. The reviewer also mentions an unresolved grievance and questions the effectiveness of the union.</t>
  </si>
  <si>
    <t>Working on the Apple Project paid $13.00 an hour. Despite being promised a set schedule, hours were changed after hiring, requiring up to two hours of mandatory overtime daily, resulting in ten-hour call shifts. Employees were required to constantly check the chatroom, with write-ups for non-compliance. Using the attendance line for absence also resulted in write-ups or requests to return to work.</t>
  </si>
  <si>
    <t>Good team chemistry with the ability to use personal ethical sales tactics and a very kind, professional work environment. Making people smile simply by maintaining a positive attitude.</t>
  </si>
  <si>
    <t>To move up, unethical practices like misleading customers were essentially required to compete with top representatives. Unfortunately, this was frowned upon but overlooked. The industry is constantly changing. Sales tactics were altered, and customer service was no longer a priority; instead, push selling was required.</t>
  </si>
  <si>
    <t>The benefits, that's about it.</t>
  </si>
  <si>
    <t>Garbage management. The company is run very poorly.</t>
  </si>
  <si>
    <t>Great project experience and fortunate to work with an amazing team.</t>
  </si>
  <si>
    <t>The regional staffing model makes it difficult to get staffed. Although I had no issue being on the bench, I found it extremely difficult to get the desired project experience due to my location. Even when I found a project, my own region blocked me from taking it.</t>
  </si>
  <si>
    <t>Good environment, work-life balance, optimal tech stack.</t>
  </si>
  <si>
    <t>Limited growth, long hierarchy, average pay scale.</t>
  </si>
  <si>
    <t>Opportunities to solve large-scale problems, work with smart and creative people, and take ownership and drive your own projects.</t>
  </si>
  <si>
    <t>Terrible work/life balance. Unreasonable expectations from leadership create a toxic environment. No support from leadership, especially regarding expectations and new initiatives. Recruiter compensation and benefits are not great compared to competitors. Too many internal recruiting tools are needed to process candidates, creating multiple issues for recruiters. Recruiter tagging guidelines create issues between internal recruiters working at the same company.</t>
  </si>
  <si>
    <t>When management is good, they are excellent; they facilitated parental leave when needed. There is justified pride in the company among Apple employees. Having the brand on one's resume is surprisingly influential. The employee discount is very generous. Some customer interactions are very fulfilling on a human level. It is relatively easy to transfer stores, even internationally.</t>
  </si>
  <si>
    <t>There is significant competition among staff, and those who evangelize the brand most often succeed, regardless of performance. The reviewer was repeatedly passed over for promotions, trips to Cupertino, and additional training opportunities despite consistently being a top performer (Apple Store employees do have targets). This led to disillusionment, as management preferred to keep the reviewer in a high-performing sales position ('the Red Zone') rather than allowing career advancement, while junior staff members received opportunities the reviewer missed.</t>
  </si>
  <si>
    <t>Limited training opportunities and issues with placement location.</t>
  </si>
  <si>
    <t>They continue to overwork, undervalue, and underpay all their employees. Employees are treated like slaves, not staff.</t>
  </si>
  <si>
    <t>Free breakfast and good staff behavior. Salary paid on time. Good medical and health benefits.</t>
  </si>
  <si>
    <t>Micromanagement in the organization. No career growth and no good projects. Low annual salary hikes. No work-life balance. Not an employee-centric organization regarding amenities like cab availability. Difficulty taking genuine leaves.</t>
  </si>
  <si>
    <t>Competitive salary, good benefits, and a good location.</t>
  </si>
  <si>
    <t>They create a meeting to discuss the next meeting, then a meeting to schedule that meeting, and finally a meeting that can take all day. Excessive micromanagement.</t>
  </si>
  <si>
    <t>Good salary, office in a good location, and hybrid work options.</t>
  </si>
  <si>
    <t>The company is China-centric, with most communication in Mandarin and non-transparent decision-making. They are trying to be an international company but are not there yet.</t>
  </si>
  <si>
    <t>Opportunities for learning and travel, a relaxed work environment, and the ability to fool management.</t>
  </si>
  <si>
    <t>Excessive politics and a lot of preferential treatment by religious zealots.</t>
  </si>
  <si>
    <t>On-site concierge, performance bonuses and 13th-month pay, work-life balance.</t>
  </si>
  <si>
    <t>Lack of communication between laboratory and production. Training is too fast.</t>
  </si>
  <si>
    <t>The people I worked with were great, and my manager accommodated my schedule as a single mom.</t>
  </si>
  <si>
    <t>After my surgery following COVID, Sedgwick approved my return, but the personnel department denied it. This happened to me, the third person, after being employed for 4 years.</t>
  </si>
  <si>
    <t>Amazon is a great place to work for Mr. Bezos.</t>
  </si>
  <si>
    <t>Only offered rolling one-month contracts.</t>
  </si>
  <si>
    <t>Flexible working, good working environment, and good benefits.</t>
  </si>
  <si>
    <t>Hierarchical structure. So large that it's hard to make a difference.</t>
  </si>
  <si>
    <t>No career growth, no salary hike, minimal bonus.</t>
  </si>
  <si>
    <t>Good pay, with commission on products sold/delivered to stores. Good benefits. As part of Pepsico, Frito-Lay is a well-known company offering good job security and career opportunities. The salty snack business generates billions annually, with Frito-Lay leading the market, ensuring job security.</t>
  </si>
  <si>
    <t>Long hours, making work/life balance difficult. Being an RSR requires 11-13 hours a day on average, resulting in 55-65 hour workweeks, without regular 1.5x overtime pay. Bulk deliveries to grocery stores require very early starts (3:00-4:00 AM). The job involves physically taxing, repetitive motions like bending, kneeling, stooping, standing, reaching, and twisting hundreds, if not over a thousand, times a day, leading to common injuries. The work often feels like that of an assembly line worker in a factory.</t>
  </si>
  <si>
    <t>Work-life balance is very good.</t>
  </si>
  <si>
    <t>Slow pace, fewer opportunities for growth, and difficulty getting things done.</t>
  </si>
  <si>
    <t>Diverse, inclusive company with amazing perks and care for their staff.</t>
  </si>
  <si>
    <t>Everything was good, but it wasn't the right fit for me long-term.</t>
  </si>
  <si>
    <t>Overall culture is great.</t>
  </si>
  <si>
    <t>Little genuine opportunity for upward movement, only sideways. Advancement is based on connections rather than performance. Understaffed and under-benefited for the workload.</t>
  </si>
  <si>
    <t>It was a great opportunity to network.</t>
  </si>
  <si>
    <t>The online internships were not great.</t>
  </si>
  <si>
    <t>Brand name is the only pro.</t>
  </si>
  <si>
    <t>Indian management is readily converting this company into a micromanaged startup, contrasting with the Australian approach. Employees were directly or indirectly forced to attend the office during COVID times.</t>
  </si>
  <si>
    <t>Initially, they offer a good salary.</t>
  </si>
  <si>
    <t>Employees have to work for at least three people. High work pressure and a challenging work-life balance. HR is merely for namesake. Managers run their own policies and behave as if they are paying from their own pocket. Employees need to work around 12 hours every day. Most managers have been there a long time and are very loyal to their own managers, often being 'yes-men'. Project deadlines are unrealistic, with upper management setting random dates that managers never challenge. To meet these deadlines, employees often work weekends; the reviewer worked 3-4 months on weekends in a year. Many employees were fired last year.</t>
  </si>
  <si>
    <t>Good pay and excellent benefits.</t>
  </si>
  <si>
    <t>Too many hours, not enough time off.</t>
  </si>
  <si>
    <t>The work culture is pretty good; seniors will always help you in every step you take.</t>
  </si>
  <si>
    <t>When you don't achieve satisfactory conversion rates (which is difficult regardless of pitch quality), team leaders will treat you poorly.</t>
  </si>
  <si>
    <t>The only good thing about the place is the good wage.</t>
  </si>
  <si>
    <t>They treat employees like robots, crazy, and with no respect.</t>
  </si>
  <si>
    <t>Opportunity to add the company name to your CV.</t>
  </si>
  <si>
    <t>Pathetic projects; finding a project that aligns with your professional goals is harder than finding an external job. Employees do all sorts of useless things to impress, but these have no industry relevance. Poor pay. Advised to stay a few years and then move on.</t>
  </si>
  <si>
    <t>There have been continual layoffs since 2013. The company is shifting all technical jobs to the Philippines.</t>
  </si>
  <si>
    <t>Excellent benefits, good salary, and annual bonuses.</t>
  </si>
  <si>
    <t>Too much stress due to monthly targets.</t>
  </si>
  <si>
    <t>Pretty much nothing, aside from the nice building location in Docklands.</t>
  </si>
  <si>
    <t>Literally no one cares about you. They dangle the promise of a contract during induction like a carrot on a stick, only to make you work like a donkey. People are fired frequently, like a reality TV show, with no explanation or follow-up.</t>
  </si>
  <si>
    <t>Met amazing people, especially on shipdock. Work was easy.</t>
  </si>
  <si>
    <t>Management became too strict and judgmental, leading to discomfort.</t>
  </si>
  <si>
    <t>Working with the union and conflicting interdepartmental goals.</t>
  </si>
  <si>
    <t>Bad conditions with heavy lifting.</t>
  </si>
  <si>
    <t>Adequate leaves are available. Salary and benefits are very good compared to other companies.</t>
  </si>
  <si>
    <t>Job security and work-life balance are very poor.</t>
  </si>
  <si>
    <t>Recognized name, spacious premises, correct hours.</t>
  </si>
  <si>
    <t>No challenge, tedious and redundant tasks, favoritism, uninteresting colleagues, low salary.</t>
  </si>
  <si>
    <t>Benefits, 401K matching, office campus, training, resources, employee networks, internships, safety training, software, on-the-spot awards, fire drills, field trips, technology, gym, ergonomics, HSE, safety culture.</t>
  </si>
  <si>
    <t>Poor management lacking soft skills, ineffective HR support, poor work-life balance, lack of diversity awareness in STEM roles, no onsite childcare, scrutinized paternity leave.</t>
  </si>
  <si>
    <t>Low salary, poor administration, poor management, lack of listening in relationships and business.</t>
  </si>
  <si>
    <t>Good pay rate compared to others, great bonus.</t>
  </si>
  <si>
    <t>Desire for longer breaks.</t>
  </si>
  <si>
    <t>Good salary with perks (fitness, yoga); new, open-minded culture.</t>
  </si>
  <si>
    <t>Company reorganization every 3 years.</t>
  </si>
  <si>
    <t>Great flexibility.</t>
  </si>
  <si>
    <t>Insufficient pay, leading to pursuit of other opportunities.</t>
  </si>
  <si>
    <t>Good health benefits and good colleagues.</t>
  </si>
  <si>
    <t>Difficult shift times.</t>
  </si>
  <si>
    <t>Paid every two weeks, decent PTO.</t>
  </si>
  <si>
    <t>Frequent layoffs (RIFs) every 6 months, age discrimination, and retaliation for unfavorable employee engagement survey ratings.</t>
  </si>
  <si>
    <t>Inclusive culture, internal advancement opportunities, learning opportunities, and work-life balance.</t>
  </si>
  <si>
    <t>Low pay and small raises, requiring rehire for better compensation. Pay needs to be negotiated at the time of hire.</t>
  </si>
  <si>
    <t>Bad pay, no benefits, insane hours, CEO fires people frequently, CEO tries to ruin perceived threats.</t>
  </si>
  <si>
    <t>Good for resume building.</t>
  </si>
  <si>
    <t>Company encouraged fake positive reviews. Employees are unpaid, management is abusive, and personal time is not respected. Not an enjoyable place to work or build a career.</t>
  </si>
  <si>
    <t>Relaxed office environment, friendly coworkers, lower management attempted to modernize testing approaches (automated testing, agile), a few good individuals.</t>
  </si>
  <si>
    <t>Upper management halted progress, created an environment of apathy, and laid off many staff without warning during COVID-19, despite prior moves towards remote work.</t>
  </si>
  <si>
    <t>Good benefits, annual reviews with raises, good health coverage with reasonable medication costs, encouraged team building, continuing education, and employee growth.</t>
  </si>
  <si>
    <t>Cuts in employee benefits, bureaucratic processes, and time-consuming tasks. A fair amount of representative management.</t>
  </si>
  <si>
    <t>Great vacation accruals and health plan when I started.</t>
  </si>
  <si>
    <t>Changes over time with new managers, unkept promises. Advise to get things in writing.</t>
  </si>
  <si>
    <t>Good company that contributes positively to the community.</t>
  </si>
  <si>
    <t>Chaotic processing system, reliance on external colleagues to do their job.</t>
  </si>
  <si>
    <t>Good health benefits, Monday-Friday schedule, beautiful community and town.</t>
  </si>
  <si>
    <t>Required to work every holiday. Terrible management, employees do as they please. Lack of communication. HR prioritizes management and company interests over employees. High management turnover leads to constantly changing rules and confusion. Stressful environment due to weekly schedule confusion, rude and racist residents. Lack of support from HR and clueless management. Feeling lost and unappreciated.</t>
  </si>
  <si>
    <t>Good brand for CV, exposure to rigid processes.</t>
  </si>
  <si>
    <t>Lack of feeling valued as an individual.</t>
  </si>
  <si>
    <t>No customer interaction.</t>
  </si>
  <si>
    <t>Consistently lifting 100-pound boxes, not just small orders.</t>
  </si>
  <si>
    <t>Travel opportunities, fantastic co-workers, opportunity to learn from smart business owners, work-from-home opportunities.</t>
  </si>
  <si>
    <t>CEO stated staff should accept non-profit pay or leave, despite CEO's high salary. Staff are paid below industry average, receive no raises, and stipends don't cover work-from-home expenses. Staff are overworked and verbally abused by members without consequence. Organization underappreciates and undertrains staff while spending millions on lavish events for member leaders. Little room for career growth.</t>
  </si>
  <si>
    <t>Great, hard-working, and dedicated coworkers.</t>
  </si>
  <si>
    <t>Underappreciated and underpaid unless in management. Zero positive reinforcement. Ineffective training, only mistakes are highlighted. Horrible morale, leading to self-doubt. Unrealistic expectations, requiring 2-3 full-time positions for one salary.</t>
  </si>
  <si>
    <t>Good people, decent time off, great remote work policy (even before COVID-19).</t>
  </si>
  <si>
    <t>Limited upward mobility, low pay, out-of-touch management. Took on double responsibilities without increased pay or support when another role was eliminated without notice.</t>
  </si>
  <si>
    <t>Great benefits.</t>
  </si>
  <si>
    <t>HR management in Houston corporate office is ineffective. Some employees advanced by lying and undermining others. Complaints of harassment, bullying, and ethics violations are not investigated, with the company always siding with management. Managers claim employee work and success. Promotions are promised but rarely materialize, as supervisors keep employees down to make themselves look good. Dedicated employees were laid off when oil prices slid, while overpaid, ineffective mid-level managers were retained.</t>
  </si>
  <si>
    <t>Great working culture, very good reputation.</t>
  </si>
  <si>
    <t>Difficult to get hired due to tough selection criteria.</t>
  </si>
  <si>
    <t>Great benefits, and the company outside of tech seemed well-organized. Unlimited PTO was nice, though some abused it. Be aware that development talent is paid below market rate, so negotiate pay carefully.</t>
  </si>
  <si>
    <t>Chaotic tech team with extremely high turnover, leading to constant team shuffling. Employees are not promoted despite good performance, while new hires receive higher salaries. Low productivity bar, making it suitable for less ambitious developers. Interview process misrepresented the actual role, which involved minimal coding and mostly Microsoft Dynamics work. Prospective employees should set low expectations and ask thorough questions during interviews.</t>
  </si>
  <si>
    <t>Awful company with rude staff and exclusionary practices in two locations. Bullying of new staff, strict rules (e.g., water breaks), and inappropriate manager behavior (pushed cake in mouth). Caused severe work anxiety.</t>
  </si>
  <si>
    <t>Intensely toxic, negative culture with backstabbing and inappropriate comments. Lack of formal HR process. Difficult for non-male employees. Massive egos. No career growth opportunities. Terrible attrition rates.</t>
  </si>
  <si>
    <t>Some really smart and hard-working people work here. Efforts are being made towards DEI, though not entirely successfully.</t>
  </si>
  <si>
    <t>Toxic and messy environment. Many unqualified leaders create meaningless work, causing talent to leave. Concerns about micromanagement and overwork were dismissed, implying personal fault rather than company issues. Speaking up was met with "growth mindset" rather than solutions. Poor back-office systems (reliance on Excel/Google Sheets), inconsistent data quality across teams, making cross-functional work challenging. No strategic plan or long-term vision; constant firefighting. Underpaid employees and insufficient team resources.</t>
  </si>
  <si>
    <t>Working 60+ hours a week for low salary, no time off (even on vacation), required 100% availability. High turnover (most quit within 6 months, except upper management). Employees hate management. CEO states "everyone is replaceable." Management sets unrealistic expectations, leading to incomplete tasks.</t>
  </si>
  <si>
    <t>Horizontal community where knowledge and experience are shared, with daily interesting conversations. Technical interview balances FAANG expectations with industry trends, emphasizing real-world application of algorithms and optimizations. Strong emphasis on LEAN and Agile methodologies.</t>
  </si>
  <si>
    <t>Mandatory use of Hubstaff, which should be optional.</t>
  </si>
  <si>
    <t>Verbling used to be a favorite teaching platform with fair fees and good teaching tools.</t>
  </si>
  <si>
    <t>Verbling no longer feels safe due to a purge of teachers who didn't comply with new, invasive third-party background checks. Data processing and sharing details were not provided. Accounts were deactivated for non-compliance or technical issues with the check website, causing loss of income. Teacher forum posts asking questions were deleted. Students were not refunded, only given credit, and classes were canceled without explanation, leading to significant financial losses for those who purchased packages. This practice is ethically questionable and unnecessary.</t>
  </si>
  <si>
    <t>Good benefits, interesting product.</t>
  </si>
  <si>
    <t>Cutthroat environment. Fast and unexpected layoffs. Management does not support employees.</t>
  </si>
  <si>
    <t>Fascinating products, industry, and tools, offering learning opportunities. Enjoyable and hard-working team in Ljubljana, Slovenia. Company has great potential with new leadership or involved investors.</t>
  </si>
  <si>
    <t>Engineering team frustrated with a condescending CEO who expects 24/7 availability. Sales teams have high turnover due to a toxic environment. Marketing team acts as a PR team, lacking added value.</t>
  </si>
  <si>
    <t>Abroad travel, career progression available.</t>
  </si>
  <si>
    <t>Low pay, high staff turnover, no help from HR.</t>
  </si>
  <si>
    <t>Education reimbursement, flexible time, professional association membership dues covered.</t>
  </si>
  <si>
    <t>Unnecessary pressure from upper management, lower pay.</t>
  </si>
  <si>
    <t>Great name for resume, interesting fringe benefits (e.g., travel stipend), hired nice people.</t>
  </si>
  <si>
    <t>Extremely risk-averse (especially Cruise Critic). "Speed wins" mantra leads to shipping sloppy products and accumulating tech debt. Revenue-only focus, neglecting long-term sustainability. Poor business choices (e.g., Tripadvisor Plus) derail the organization. Untrained leaders. Poor compensation. Abysmal financial support for resources and tooling. Diversity goals are a smokescreen. Constant focus on wrong priorities. Lack of culture or belonging, even within ERGs; a "clock in, clock out" company.</t>
  </si>
  <si>
    <t>Nice, new store with good consumer offerings. Fair salary.</t>
  </si>
  <si>
    <t>Horrendous staffing, working alone daily from 3 PM - 11 PM without breaks or lunch. No on-site bathroom, requiring locking the store to use facilities elsewhere, often impossible due to customer volume. Manager refused to provide support or hire additional staff for night shifts. Unsafe environment due to sketchy and homeless individuals, leading to multiple confrontations.</t>
  </si>
  <si>
    <t>Nice colleagues outside of work.</t>
  </si>
  <si>
    <t>Staff are not appreciated. HR and IT failures hinder company progress.</t>
  </si>
  <si>
    <t>Great learning environment and free CEUs.</t>
  </si>
  <si>
    <t>Low pay with no advancement opportunities.</t>
  </si>
  <si>
    <t>Great opportunities and amazing people.</t>
  </si>
  <si>
    <t>Good place to work and great perks.</t>
  </si>
  <si>
    <t>Few hours during certain periods and limited promotion opportunities.</t>
  </si>
  <si>
    <t>Frequent picking on new employees.</t>
  </si>
  <si>
    <t>Great company to work for, delivering on its promises. Despite compensation changes, consistency in calls and helping families/seniors was rewarded. The company is evolving and has increased support for family advisors. During the pandemic, it supported employees and their families. Suitable for skilled individuals; those lacking skills may post negative reviews.</t>
  </si>
  <si>
    <t>Frequent changes in compensation plans were difficult for some, though these changes also brought more support.</t>
  </si>
  <si>
    <t>Flexible for those with multiple jobs or family obligations. Great benefits for full-time employees. Enjoyable occasional employee events. Promotions offered for long-term, compliant employees. Most server/food &amp; beverage employees are great peers.</t>
  </si>
  <si>
    <t>Unreliable hours, often cut short or canceled last minute, leading to inconsistent pay. Gratuity tips are distributed quarterly as a "bonus," with unclear accounting, leaving employees struggling to cover costs and often needing multiple jobs. No background checks, leading to hiring individuals with serious issues (addicts, abusers, threats), creating an unsafe environment. Management gaslights and dismisses employee concerns about safety until a favored individual vocalizes the problem. Hypocritical enforcement of "zero tolerance" rules. High turnover due to irresponsible and insensitive behavior. Quality employees are driven away, and remaining staff are undervalued unless confronted. Inconsistent application of rules, especially between genders (male managers). Concerns about uncomfortable situations are met with political deflection. Diversity awareness and advocacy are performative.</t>
  </si>
  <si>
    <t>Competitive salary for entry-level developers. Well-located Porto office. Great colleagues. HR efforts to ensure employee well-being. Company car for team leads and principal engineers.</t>
  </si>
  <si>
    <t>Toxic culture characterized by blame, backstabbing, and unfair year-end performance reviews. No clear career path. Terrible codebases in most projects. Terrible management from bottom to top.</t>
  </si>
  <si>
    <t>Strong mission-driven culture. Colleagues are almost universally nice, smart, and hard-working.</t>
  </si>
  <si>
    <t>As a consultant, being at the mercy of the client's pace/vision can be frustrating.</t>
  </si>
  <si>
    <t>Nice and genuinely caring people.</t>
  </si>
  <si>
    <t>Lack of focus. Executives are unaware of other groups' activities, inexcusable for a small organization. No game plans among functional units. Employees working with students (program managers, instructors, IAs) are often deemed unimportant. The Pursuit Bond model is similar to typical income-share agreements at other schools, which offer better-established curricula and larger support systems.</t>
  </si>
  <si>
    <t>Good pay, nice colleagues, and a fine office.</t>
  </si>
  <si>
    <t>Working there is like being part of a dysfunctional family with a narcissistic stepfather who travels often, leaving his son to rule the house. Everyone is scared of the father, performing tasks to keep him happy even if it means making incorrect decisions.</t>
  </si>
  <si>
    <t>If you like clueless, money-hungry management that screws you over, this is the place for you.</t>
  </si>
  <si>
    <t>They will drop you in whatever country you are in, and good luck getting home. It doesn't matter if there is a pandemic or not; you might get a plane ticket, maybe.</t>
  </si>
  <si>
    <t>Interesting projects are ongoing, and they are at least trying to innovate.</t>
  </si>
  <si>
    <t>Management is bad. Program management and product owners lack the skills for project leadership. There is a lot of internal rivalry, even among client officials. Most decisions are political, not technical. Everything is rushed, impacting delivery quality. There is a high internal turnover, most staff are technically weak, and good employees don't stay long.</t>
  </si>
  <si>
    <t>Social events a couple of times a year.</t>
  </si>
  <si>
    <t>Toxic working environment. PM management team are bullies. Top-heavy with directors and management who lack expertise and professionalism. Operations directors swear a lot. Dictatorship working culture. Low salary. Narcissists at the top. Lack of transparency. Inconsistent rulebook. Be prepared to work 7 days a week. The place is literally sick.</t>
  </si>
  <si>
    <t>Unlimited PTO, Summer Fridays, one week of holiday break, generous holiday calendar, several office events, insurance, TicketsAtWork, 401K with match, pre-tax MetroCard, adoption and fertility assistance, fun clients, free alcohol, and a rooftop. Coworkers are very cool, and there are several notable clients. People were very open to discussing career plans and allowing me to sit in on meetings to explore my interests. Office events were fun and not too forced. Leadership was very respectful in my experience. There was room for upward growth, but not as much flexibility with switching departments.</t>
  </si>
  <si>
    <t>Halfway through my time there, our team was switched to Dentsu instead of 360i, which stripped us of unlimited PTO and Summer Fridays. It felt like we always had different rules because of this. As part of the Office Hospitality team, I often felt like an outsider. We were mostly treated with respect but never truly felt like part of the team. Due to COVID, I was furloughed for 8 months and then eventually let go. I tried applying for entry-level positions and apprenticeships to stay with the company and grow my career. They pretended to want to help but never did, despite my passion for the company, its clients, and culture. I wish it hadn't ended on a sour note, but I still view the company positively.</t>
  </si>
  <si>
    <t>Nice work-life balance, gentle people, good working conditions, and food. You can watch YouTube for half the working time and still be okay with your schedule.</t>
  </si>
  <si>
    <t>Terrible code quality, written unprofessionally. Massive recruiting led to many occasional people starting to code, resulting in hidden unemployment. Bureaucracy, lazy management, excessive meetings, and a fear of taking responsibility. Inventing artificial promotions and making 'Hulalalala' at every weekly meeting is ridiculous.</t>
  </si>
  <si>
    <t>They really take their values seriously. Transparency is key at Glassdoor and is felt in every decision they've made. I never felt left in the dark or like resources were being shielded from me.</t>
  </si>
  <si>
    <t>Diversity could have been much better.</t>
  </si>
  <si>
    <t>Great company, great people, work-hard-play-hard environment. You get out what you put in.</t>
  </si>
  <si>
    <t>High turnover, can be a grind.</t>
  </si>
  <si>
    <t>You learn new things about nationwide contracts and get to speak with many different people daily.</t>
  </si>
  <si>
    <t>Management is indecisive, changing the business model very frequently before even adjusting to the old one.</t>
  </si>
  <si>
    <t>Great, friendly family company in Massachusetts. Not so much in Texas.</t>
  </si>
  <si>
    <t>Lack of knowledge and management skills in Texas. Massachusetts runs and operates flawlessly. 5 stars if you're in Massachusetts, 1 star if you're in Texas.</t>
  </si>
  <si>
    <t>Difficult to improve rate per hour because of a very strict KPI system.</t>
  </si>
  <si>
    <t>You know how much you are making.</t>
  </si>
  <si>
    <t>You need to know Japanese, or you can't communicate with other teachers.</t>
  </si>
  <si>
    <t>I got paid a decent salary. My coworkers were great people. I was lucky to be on the most profitable team, so I wasn't as micromanaged as other teams.</t>
  </si>
  <si>
    <t>The commission structure is horrible. There is no work-life balance; we only developed balance because of COVID. Management lies a lot, telling teams anything to cover their mistakes. Don't think they are on your team; you are just a number. Management is very shady in how they navigate staff, working people to the bone with very few perks. Not many holidays off; you earn half a day off every month, so if you're sick, you go unpaid or have a negative PTO balance. They beg you not to leave negative reviews on the company; many of these are fake. JumpCrew is a boys' club. They care so little about diversity, with very few women or people of color in management and throughout the company. A coworker mentioned the discrepancy to management multiple times, and there were always promises of change.</t>
  </si>
  <si>
    <t>The CEO had great energy, vision, and practiced what he preached (he's gone now). The product is great; the more you read about FinTech, the more you realize its international impact. Good office location.</t>
  </si>
  <si>
    <t>The CFO (now replaced) and COO silo employees. Incestuous culture with rumors and high-school-like drama. Management became suspicious when people were having fun. In interviews, they claimed to be open to training and support, but there was none. Employees became afraid to ask questions as those who helped were reprimanded. The company is cheap.</t>
  </si>
  <si>
    <t>Everything sucked, and they're cheap.</t>
  </si>
  <si>
    <t>Plenty of PTO, hard to get terminated, entry-level.</t>
  </si>
  <si>
    <t>Low pay, promotions based on cliques, and rules don't apply to everyone.</t>
  </si>
  <si>
    <t>Work from home after 6-10 months.</t>
  </si>
  <si>
    <t>Low pay. Massive amounts of work. Management wants you to take on responsibilities of other coworkers when they don't do their jobs right. After-call work (ACW) is 3 minutes, which is not enough time to finish work correctly.</t>
  </si>
  <si>
    <t>Was really good at first.</t>
  </si>
  <si>
    <t>Allowed a bullying culture to flourish.</t>
  </si>
  <si>
    <t>No work-life balance; always rushing to complete projects on unrealistic timelines, very reactive, not proactive. Outdated technology, product development systems, and communication tools, leading to too many emails and duplicative work. The CEO is involved in everything; only leadership's opinion matters. Attitudes are very poor, especially from leadership; very negative and not solution-oriented. Leaders will argue with each other in group meetings. Unpleasant culture, not forward-thinking, strategic, or looking for ways to improve. Sourcing and overseas vendors do not support customer needs and on-trend development, leading to presenting old or underdeveloped ideas to customers, resulting in reactionary steps. Domestic QA is a joke; they complain, are not helpful in finding solutions, or proactive planning. The corporate office is unique but outdated; they should invest in the right organizational tools, storage, workrooms, offices, gathering spaces, and technology to support a team that must go into the office.</t>
  </si>
  <si>
    <t>Learning about engineering and installing parts.</t>
  </si>
  <si>
    <t>Trying to complete additional tasks.</t>
  </si>
  <si>
    <t>Good work-life balance. Opportunities to work with different technologies. No heavy workload. Various activities are organized regularly, in which you can participate.</t>
  </si>
  <si>
    <t>Great experience for students, great staff, fair salary, and company-wide cookouts every week.</t>
  </si>
  <si>
    <t>Long hours, hard manual labor, and frequent superfluous meetings.</t>
  </si>
  <si>
    <t>Remote work, unlimited vacation/PTO days.</t>
  </si>
  <si>
    <t>Mandatory salary reductions due to financial instability (twice in two years). Management changes, business goals unknown to most of the team, lack of strategy and direction. No new sites added.</t>
  </si>
  <si>
    <t>Pay was good, benefits were decent. Personnel were very helpful and honest.</t>
  </si>
  <si>
    <t>Minimal support from the regional manager. Focused on growing the company faster than the infrastructure could sustain.</t>
  </si>
  <si>
    <t>Career development, great manager and team.</t>
  </si>
  <si>
    <t>Unbelievably amazing colleagues who became the only reason I came to work. We found collective unity by experiencing similar dysfunction within the company. Hiring managers are great manipulators, thus having a great sense for 'styles' of new hires; we all got along. Paid training and licensing. The kitchen is stocked, and lunch is provided twice a week. Competitive pay (if you negotiate for it).</t>
  </si>
  <si>
    <t>The leaders of this company are professional salespeople. They treat employees the same way they are scripted to treat borrowers, managing from a script. It's all 'smoke and mirrors'; everything is phrased and scripted to seem great, but it's all lies, a 'fine print management.' There are inner-circle politics and complete dysfunction in their leadership tactics, stemming from how the CEO handles his employees. They respond to questions with questions. The CEO has a complete disregard for the integrity of his employees and will publicly demonstrate it in front of the entire company. As a startup, there is no organizational dynamic or clear path to success; it's constantly being made up as they go. There is no structure; promotions are based on 'feel' and 'personality,' not work performance. This job highly affects your lifestyle and outlook. As a former colleague advised, 'Protect yourself at all times... be calculated in your responses... these people are liars and will milk every emotion from you until you break.'</t>
  </si>
  <si>
    <t>Great culture that focuses on employee satisfaction. The people are truly great, and compensation is slightly above average for upstate jobs.</t>
  </si>
  <si>
    <t>Public accounting industry hours can be tough. High-performing employees could be compensated better to help retain talent.</t>
  </si>
  <si>
    <t>Easy job, good commission as an associate. Some stores have good people to work with. Easy to get hired at most places.</t>
  </si>
  <si>
    <t>The District Manager was inconsistent, and store managers changed every few months. DM's mistakes are blamed on you. Turnover rate is very high; expect to be called in on your days off. They will treat you as lesser if you can't work 6-7 days a week. Computer systems are very old, and most logs are still on paper. They will not train you properly at most stores. If you're a keyholder, you need experience because they won't teach you how to open or close; they'll give you training test answers and promise to teach you later, but never do. If you have an issue with management, they won't give you a chance to respond. If a customer complains, they will hold it against you and never speak to you directly, or only inform you when convenient. They only schedule two people per shift, even during training, and store managers get reprimanded for overtime. One person manages many stores and doesn't pay attention or listen to anyone other than the store manager, unless convenient. When a former store manager left due to declining mental health and stress, the DM tried to manipulate them into returning. Pay for every position is abysmal. Associates make minimum wage but often earn more than keyholders (who handle shipment/cleaning because associates aren't properly trained) due to 7% commission. The store manager position usually starts at less than $16 an hour. The store is always a mess, and the DM complains but doesn't provide time or staff to clean it. Management does not care about employees. Shoes are always on the floor, leading to theft and damage. People leave trash and empty boxes everywhere. The dress code is outdated; you have to buy your own shirt if they don't have any, or pay for them through an order form that is often not fulfilled. The dress code is only enforced by the DM and not properly listed on paperwork. The store manual is outdated, and the DM told us not to follow it.</t>
  </si>
  <si>
    <t>Diverse, fun, engaging, career-focused, and good benefits.</t>
  </si>
  <si>
    <t>Managers change too often; some are great, and some are horrible.</t>
  </si>
  <si>
    <t>Some good perks and benefits programs.</t>
  </si>
  <si>
    <t>Extremely high turnover; inconsistent and outdated processes.</t>
  </si>
  <si>
    <t>If you get COVID-19, your two weeks out of work will be unpaid. There's currently a COVID-19 positive unit, and you won't get paid if you become COVID-19 positive. Not everyone is getting hazard pay. Nurses, CNAs, RTs, dietary staff, etc., are constantly in contact with staff going into COVID-19 positive units, so why isn't everyone getting hazard pay? It was soul-crushing to see 'Heroes Work Here' signs when administration isn't paying us what we're worth. That's why I left. Plenty of other facilities honor hazard pay. Don't even apply here.</t>
  </si>
  <si>
    <t>I've been working almost constantly since I was 16, about 20 years. I've had a few jobs I wouldn't return to, but most were good. The one job I wouldn't return to for any amount of money is Career Services at Remington. I've never woken up sick to my stomach for any other job. The president would inspect my attire every morning, always professional and appropriate, but I and my team were always scrutinized. Phones are bugged, and meetings are listened in on. Reviews with the regional president are nightmarish. He tells you how to prepare, then does the opposite. He sat in a dark room and degraded my team, my progress, and everything I did, while I was told to look ahead and not turn around to speak to him. I was told what colors to wear on review days and not to wear lotion, perfume, or too much jewelry because it 'offended him.' While being spoken to like an idiot, I was told to just sit and listen and never talk back. The work scope is impossible: if 100 kids graduate, you're expected to place 100 in jobs. If you place 99, they ask why not 100. Employers wouldn't hire Remington students because their education isn't good enough. When cold-calling to place students, employers would sometimes say, 'we don't hire Remington students,' or just hang up. If the regional career services director feels pressured enough (which is always), they'll tell you to fudge the numbers. Remington is an awful diploma mill, and every location should be forced to shut its doors. Avoid it; you won't last long anyway, as they don't keep anyone. When they let you go, they'll make you sign a document stating nothing unethical is happening at Remington and that you never witnessed anything unethical. Trust me, you will, every day.</t>
  </si>
  <si>
    <t>Salary, cab.</t>
  </si>
  <si>
    <t>They treat their own US employees as clients. No culture. Chennai Management ensures no direct contact with higher management in the US. HR claims there is a Glassdoor page for Transact. HR provided wrong information about shift timings for 15 people at a time. Unwanted cheap behaviors from management to hide their mistakes. Poor pantry. I left the company in 15+ days.</t>
  </si>
  <si>
    <t>At this point, few to none. A port in a storm if you can't find anything else. Free parking, soft drinks, coffee, and fruit.</t>
  </si>
  <si>
    <t>Long hours, no rewards for rowing a galley with no rudder or compass. Lack of product vision, direction, and fewer competent resources to keep the boat afloat, much less moving forward. Customer churn is significant. Stability is more of a fantasy than a dream.</t>
  </si>
  <si>
    <t>Approach to staff is partly military-style with strict and inflexible ruling, which may make it less suitable for non-medical outsiders with non-ICRC experience. HR rules and treatment of staff can sometimes seem shambolic, arcane, and frankly cruel.</t>
  </si>
  <si>
    <t>Good hike, friendly culture, and a lot of opportunity to learn and grow.</t>
  </si>
  <si>
    <t>Sometimes there is work pressure, which is true for each project.</t>
  </si>
  <si>
    <t>The great working environment and wonderful coworkers. The caring, friendly, approachable, and superior leadership qualities of the management personnel.</t>
  </si>
  <si>
    <t>Unfortunately, the salary for CRCs is very low, especially considering the workload, advanced knowledge, and skills necessary to perform the job functions.</t>
  </si>
  <si>
    <t>Free samples, discounted services, and retail products.</t>
  </si>
  <si>
    <t>The people you work with are great, and they try to do things to increase employee morale, such as cookouts and random lunch parties.</t>
  </si>
  <si>
    <t>The amount of benefits decreased. Management does not communicate effectively.</t>
  </si>
  <si>
    <t>Management's only solution is to 'make more calls.'</t>
  </si>
  <si>
    <t>Incredibly disorganized and bizarrely run from the top down. Read all the reviews if you are considering an offer from this 'company.' Humiliation, misogyny, and homophobia were daily reminders of the hellish atmosphere of this 'pay-for-play' scam sold with cooked numbers. I literally dealt with PTSD for almost a year after my short 6-month stint in this evil place.</t>
  </si>
  <si>
    <t>The company knows its weaknesses and refuses to address them.</t>
  </si>
  <si>
    <t>Good benefits, but not enough to make up for poor compensation.</t>
  </si>
  <si>
    <t>Do not expect to advance at IHS Markit. You better be happy with your starting position. Low pay.</t>
  </si>
  <si>
    <t>Bonuses, increases in pay, and some room for advancement.</t>
  </si>
  <si>
    <t>Management doesn't know what they're doing, quick to write someone up, no support, long shifts, always being called in, believes clients over staff, no proper training, gossip, slander, catty work environment, quick to throw someone under the bus, staff sleeping with clients, and the list goes on.</t>
  </si>
  <si>
    <t>Good internal interpersonal team dynamics, excellent one-on-one patient care, and a very clean and technologically up-to-date service space.</t>
  </si>
  <si>
    <t>Poor hiring/recruiting process, poor top-down management control, and local branches often feel disconnected from the bigger entity.</t>
  </si>
  <si>
    <t>The top managers are swindlers, led by the most unethical, callous human you will ever come across. They will make your life a living hell and do as they please. From fooling customers to employees to partners, it is all built on a hollow, deceitful foundation. Any current or ex-employee will give you the same feedback. There is zero respect and value for employees. The CEO will yell all day, and other leaders will wag their tails, only to talk crap behind his back. Your full and final settlement and documents will never be fulfilled. Someday this company will collapse because it has crippled many hopeful careers and innocent souls.</t>
  </si>
  <si>
    <t>Leadership is either too timid and shy to get things done, or they yell profanities in company-wide meetings, trying to guilt-trip employees to do better because they lack ownership themselves. They will dictate your dress code, how long you work, and give you no ability to work from home. They are a company that focuses on numbers and does not care about its employees.</t>
  </si>
  <si>
    <t>Strong team environment and excellent technology to work with.</t>
  </si>
  <si>
    <t>Lack of backup in the admin department. Vacations often result in much work needing to be completed upon return.</t>
  </si>
  <si>
    <t>Flexible work hours and good benefits.</t>
  </si>
  <si>
    <t>Hiring for unnecessary positions. Not following through on internal promotions, instead hiring from outside without clear communication. Deceptive practices regarding job security. Laying off employees without getting to know them or giving them an opportunity to prove their worth.</t>
  </si>
  <si>
    <t>Working with a life-saving technology that detects and assesses concussions (TBI).</t>
  </si>
  <si>
    <t>Frequent strategic shifts, long hours, and company is running out of money.</t>
  </si>
  <si>
    <t>The higher-ups were great, as were all the benefits.</t>
  </si>
  <si>
    <t>Limited resources, no actual office space. Had to drive personal vehicle.</t>
  </si>
  <si>
    <t>Amazing job, loved everyone there.</t>
  </si>
  <si>
    <t>Sometimes felt like I wished they hired more minorities.</t>
  </si>
  <si>
    <t>Some good people worked there.</t>
  </si>
  <si>
    <t>Awful management, awful pay, awful culture. No pay increases to base pay for salespeople in 20 years. ESOP is a joke now and less than it was 10 years ago. Stay away.</t>
  </si>
  <si>
    <t>No job security. Terminated within a few months for trivial reasons; CEO gave vague verbal requirements and then shouted for wasted time. No termination pay. CEO is rude and arrogant. Salary was never on time, requiring monthly reminders. CEO assigns random R&amp;D work, not allowing focus on their own product. Lack of processes, structure, and crappy, arrogant behavior towards employees. CEO stated he would hire cheap freelancers, indicating a freelance mindset. They should not recruit full-time if they treat employees this way.</t>
  </si>
  <si>
    <t>You will learn a lot because the pressure of work is very high.</t>
  </si>
  <si>
    <t>High workload, never pays employees on time (sometimes current month's salary is paid after two months, and only half), CEO is rude and unprofessional.</t>
  </si>
  <si>
    <t>Work-from-home is available.</t>
  </si>
  <si>
    <t>No job security; you don't know when you will lose your job.</t>
  </si>
  <si>
    <t>Good pay, health insurance, and retirement plan.</t>
  </si>
  <si>
    <t>Management was stuck in a 1990s time warp. Employees must sacrifice family time due to the constant push to service clients.</t>
  </si>
  <si>
    <t>Smart people with a strong fundamental approach to private equity investing; good pay.</t>
  </si>
  <si>
    <t>Very long hours and little focus on fixing it from senior management.</t>
  </si>
  <si>
    <t>Good pay when actually paid.</t>
  </si>
  <si>
    <t>Long hours for low salary, long drive time with no reimbursement for gas or vehicle maintenance, poor installation and permit approval times, and employees are forced to do things that are morally/ethically questionable.</t>
  </si>
  <si>
    <t>No space, broken machines, unsafe environment. Management doesn't care about employees. Long hours. Ministry called in on multiple occasions. Understaffed, workload is too much, not enough machinery. Concerns are never dealt with.</t>
  </si>
  <si>
    <t>Great opportunity to work one-on-one with students from diverse backgrounds, learning abilities/styles, and personalities, with distinct educational/socio-emotional needs. The one-on-one model allows for quick assessment of effective/ineffective strategies, unlike large classroom settings. As experience grows, knowledge and comfort in subject areas expand, allowing for the integration of resources/tools/learning platforms. Good opportunity to teach various classes, including AP courses. Many highly talented, hardworking, collaborative, supportive, and collegial teachers. Opportunities to advise student groups/clubs during lunch.</t>
  </si>
  <si>
    <t>High turnover among teachers and front desk staff, with little investment in retention; upper administration describes it as a 'stepping stone' job. This creates a lack of continuity for students and loss of experienced staff. Inadequate teacher training for students with learning differences (20 minutes weekly, often topical, focused on reporting requirements). Inadequate prep time: 1 hour for every 10 hours of instruction, paid at a reduced rate ($20/hour, well below teacher pay range). Class cancellations count against accrued prep time. No dedicated Human Resources; disciplinary issues handled by upper administration, creating a conflict of interest. An outside HR consultant is used at upper administration's discretion. History of unprofessional, bullying, and retaliatory behavior by upper administrative team members, including those in charge of curriculum and HR/benefits, with impunity. Complaints have been ignored, enabled, excused, and covered up by upper management. Top leadership positions often awarded through nepotism or to those who do not question management, fostering pettiness, immaturity, vindictiveness, insecurity, gossip, and insincerity. This creates an unproductive, toxic, incompetent, and uncaring environment. Lack of teacher control/feedback/collaboration in curriculum development. No CFO or Controller. School is consistently reactive instead of proactive logistically, administratively, and curriculum-wise.</t>
  </si>
  <si>
    <t>Beautiful office in Germantown, Wisconsin.</t>
  </si>
  <si>
    <t>Extremely toxic and difficult environment. Understaffed departments with high turnover. HR was notified numerous times about workplace bullying, but nothing was done. Stressful work environment. Worst year of my career.</t>
  </si>
  <si>
    <t>Progressive industry, learned a lot.</t>
  </si>
  <si>
    <t>Overworked, rampant burnout, very unresponsive/disorganized management.</t>
  </si>
  <si>
    <t>Friendly team environment. Supervisor and department were great, patient with work, and willing to teach during team meetings.</t>
  </si>
  <si>
    <t>Overworked and very low pay, making it hard to increase salary once started. Projects are organized until higher-ups reassign people to other projects.</t>
  </si>
  <si>
    <t>Great work culture, good benefits.</t>
  </si>
  <si>
    <t>Senior management has no clue what they are doing with the product.</t>
  </si>
  <si>
    <t>Good benefits, some good people to work with.</t>
  </si>
  <si>
    <t>Dress code, overly secretive, outdated job policies, very political in terms of job promotion, very restrictive trading of personal portfolio even if not part of research staff, rigid hours.</t>
  </si>
  <si>
    <t>Annual leave.</t>
  </si>
  <si>
    <t>Assigned jobs are totally out of scope because team members are not capable of completing committed tasks.</t>
  </si>
  <si>
    <t>Opportunity to work with large-scale companies.</t>
  </si>
  <si>
    <t>Too much emphasis on outsourcing, which doesn't work; IT is a mess. Managers micromanage to the point of unnecessary rework. Under-resourced teams lead to exhaustion, with little concern for mental health (one day off for mental health awareness doesn't compensate for a year of strain). Promotions are non-existent. Senior leadership doesn't understand appropriate hierarchy levels. The rotation scheme advertised on job applications doesn't exist.</t>
  </si>
  <si>
    <t>HR team is good at responding and maintaining effective communication. Recruitment/onboarding team is above par in onboarding candidates with necessary instructions. Immigration team was knowledgeable and helped with H1B approval for a transfer petition despite an RFE. Employees receive good benefits, including health insurance (dental, vision options), a 401K plan, and 13 days of PTO accrued per pay cycle.</t>
  </si>
  <si>
    <t>Lacks a well-defined Marketing Team to quickly find new jobs for candidates when projects end.</t>
  </si>
  <si>
    <t>Directors and CEO threaten to sue sales agents or managers who express opposing views. Agents are terminated on trumped-up charges, which is presented as entertainment. Employees learn how to amortize a mortgage, their main sales pitch, and how a 1950s HP 12C calculator works.</t>
  </si>
  <si>
    <t>Boot-licking and backstabbing are common. Bosses teach employees to threaten agents with lawsuits for leaving. Management schemes to wreck finances and careers, terminating agents on lame charges.</t>
  </si>
  <si>
    <t>Virtual environment/work-from-home, benefits, culture, vacation policy, bonuses based on company profitability.</t>
  </si>
  <si>
    <t>Frequent re-organizations, bad leadership, lack of growth path/opportunities.</t>
  </si>
  <si>
    <t>Fully remote, good benefits, no micromanagement.</t>
  </si>
  <si>
    <t>Organizational chart made it difficult to work with others outside of the department. Revolving door with upper management.</t>
  </si>
  <si>
    <t>Company views people in recovery as dollar signs and does nothing to give back to the SUD community. Multiple layoffs prove leadership doesn't care about employees. Long-term employees are laid off, bullied out, or leave due to frustration from not being listened to.</t>
  </si>
  <si>
    <t>Low pay, overworked, no support.</t>
  </si>
  <si>
    <t>Management only communicated poor performance during reviews, offering no chance to improve. Manager always blamed me for lack of improvement and never took accountability. No real maternity leave, only short-term or long-term disability.</t>
  </si>
  <si>
    <t>Employee discount, nice people, cool clothes.</t>
  </si>
  <si>
    <t>Overworked, doing the work of multiple people and not compensated.</t>
  </si>
  <si>
    <t>Kind, empathetic, and focused colleagues who execute tasks with maximum effort and care. Solid and repeatable commercial model that incentivizes good behavior and prioritizes service efficacy. Good focus on employee well-being. Remarkable successes, a testament to the model, technology, and team. A lot of trust from management enables great work.</t>
  </si>
  <si>
    <t>Can feel like 'move fast and break things' at times. Feedback is generally acted on, but sometimes not visibly or quickly, leading to a loss of trust. High volume and pace of work force the team to be reactive. Hiring has been a struggle.</t>
  </si>
  <si>
    <t>Fools students by promising large packages (e.g., 9 LPA) but pays around 20k per month, with performance-based incentives that are often not paid even if targets are achieved. A major scam is that salary payment starts the next month after joining, but employees are terminated before the first payday without any compensation, even after working for a month, if sales targets are not met. No time is given to adjust to the company environment. Colleges should not consider this company for student placements as it ruins students' lives.</t>
  </si>
  <si>
    <t>Great product line and good service.</t>
  </si>
  <si>
    <t>Very little growth opportunity. Not enough employees for the workload.</t>
  </si>
  <si>
    <t>Typical sports industry perks: games, tickets, gear. Time off around the holidays.</t>
  </si>
  <si>
    <t>Low pay for entry-level positions ($30k/year) despite executives spending excessively on personal dinners, alcohol, and travel (including private jets for meetings that could be virtual). Commissions are confusing and depend on the inherited book size; small book holders bring in significant revenue but see only a fraction. Technical benefits are weak, with no 401k match. Corporate claims to be a 'family' but lays off many people, only to repost their jobs weeks later.</t>
  </si>
  <si>
    <t>The office in New York is nice.</t>
  </si>
  <si>
    <t>Horrible, reactionary management with zero vision. New initiatives every month without team communication, leading to duplicated efforts. Four re-organizations in six months. Management denies layoffs, then conducts them. C-level leadership stated, 'This is how this company works, if you don‚Äôt like it‚Ä¶ leave,' and 'There‚Äôs no job security in life, so we aren‚Äôt going to try and rebuild the trust we lost by lying and laying folks off.' Constant breakage due to lack of quality focus (CEO focuses on minor UI details). Horribly outdated tech with no improvement. Directors and above don't care about engineers or managers. Blatant favoritism is the only way to advance. CTO aims for people to quit to make roles 'hard enough.' Poor company outlook despite flashy new deals. Zero learning and development, horrible culture. Everyone is overworked. Culture involves acting like frat boys and getting drunk after work. Avoid this company if you value yourself, your values, or work-life balance.</t>
  </si>
  <si>
    <t>Market leader and international company.</t>
  </si>
  <si>
    <t>Big hierarchy, limited promotion possibilities. They prefer hiring new people over promoting loyal employees.</t>
  </si>
  <si>
    <t>Flexible working, casual dress code, comfy sofas and breakout areas.</t>
  </si>
  <si>
    <t>Management has no idea what they're doing and plays favorites. Pay is very low and frozen to fund company acquisitions. Management is predominantly male. SEO performance is declining, making it a hard time for the business.</t>
  </si>
  <si>
    <t>If you are talented and want to grow, you must fight for yourself boldly; otherwise, you will be ignored or cornered.</t>
  </si>
  <si>
    <t>Poor work-life balance, limited learning opportunities.</t>
  </si>
  <si>
    <t>Product discounts on all items, paid holiday every year.</t>
  </si>
  <si>
    <t>Poor management and abusive environment. Primary goal was to avoid giving anything away when a product is returned. Excessive corporate red tape.</t>
  </si>
  <si>
    <t>Good stepping stone for juniors and foreigners seeking a starting career in Singapore, as the company prefers hiring low-wage workers (though this may change with rising minimum wages). Employees typically work 1-2 years before switching companies. Diversity exists. Annual company stock discount for all full-time employees. Online learning coverage for Udemy and Coursera. Hybrid working culture for non-critical businesses; government and manufacturing are on-site. Generally good work-life balance, except near deadlines. IT technology (VPN, automatic software updates) is good.</t>
  </si>
  <si>
    <t>Salary is below market average despite demanding job roles. Diversity (mostly Indonesian, Filipino, Indian, Vietnamese) is likely due to low wages. Promotion is based on seniority and pleasing management/French people, not merit, leading to brilliant people leaving and average/bad ones filling roles. High turnover rate. High-ego managers and toxic colleagues; sabotage and backstabbing are prevalent. Chaotic codebase for development, production, and unit tests. Project leaders and managers do not strive for good development practices; code refactoring is seen as a burden, coding shortcuts as brilliant, and agile development is superficial. Many French colleagues are cunning, self-entitled, and arrogant towards Asians; some incompetent expats have the highest salaries. Strong politics in higher management, especially involving French people. Few brilliant people to work with; experts' expertise is questionable, and strong cryptography knowledge is lacking in a cybersecurity company. No one cares about good software development practice. Limited career progression for higher positions. Average health insurance coverage (no dental or annual health screening). Bad HR technology (Workday for performance/structure, Oracle for other functions), making benefits claims, payroll downloads, leave applications, and monthly check-ins difficult. Anonymous surveys are not truly anonymous.</t>
  </si>
  <si>
    <t>Opportunity for growth, versatile work location.</t>
  </si>
  <si>
    <t>Expensive benefits. Pay is low-balled if not negotiated. Top-down micromanagement. Hyper-inflated egos of certain leaders. Inconsiderate, partial, and unfair boss. Laughable representatives and practices. No sense of team. Inconsistent management attention and treatment for associates. Non-involved executives. Supervisors ignore employees who give notice, then harass them after they leave. Upper management is routinely dishonest with clients and prevents exposure of this.</t>
  </si>
  <si>
    <t>Food at subsidized rates, office shuttle, good work-life balance. Company supports employees during uncertain times (as long as they have not resigned).</t>
  </si>
  <si>
    <t>Some departments operate like Indian government offices, prioritizing talking over impactful work. Some departments have 'uncles' who teach morals instead of working. Legacy systems and code. Employees lose trust from their employer during the notice period; no Diwali gift is given, reflecting a low-minded HR policy. No work-from-home; people are forced to come to the office.</t>
  </si>
  <si>
    <t>Good salary; if lucky, a good immediate supervisor.</t>
  </si>
  <si>
    <t>Not the same since being bought out by UnitedHealthcare. Went from being a valued person to just another employee number on a spreadsheet.</t>
  </si>
  <si>
    <t>Some co-workers are nice, good products.</t>
  </si>
  <si>
    <t>Bad management, terrible response to COVID, no raises, toxic work environment.</t>
  </si>
  <si>
    <t>Great people, amazing office space.</t>
  </si>
  <si>
    <t>Underpaid, lack of promotions, extreme favoritism, toxic management that portrays itself as the victim.</t>
  </si>
  <si>
    <t>Great people to work with, great bonuses.</t>
  </si>
  <si>
    <t>Numbers-driven, leading to a lack of care for employees. Overtime was implemented as a solution for many tickets, resulting in overworked employees.</t>
  </si>
  <si>
    <t>Weekends off, provided lunch.</t>
  </si>
  <si>
    <t>Management is out of touch; long-term employees (20+ years) are protective of their roles, and progressive mindsets don't prevail. Employees with 4+ years of service were laid off to hire temps.</t>
  </si>
  <si>
    <t>Refreshments in the kitchen are nice.</t>
  </si>
  <si>
    <t>Toxic culture. Senior management is unsupportive; new employees are more friendly and supportive.</t>
  </si>
  <si>
    <t>Too much overtime, working until 12 PM.</t>
  </si>
  <si>
    <t>If you want to make money</t>
  </si>
  <si>
    <t>Best</t>
  </si>
  <si>
    <t>It's the civil service</t>
  </si>
  <si>
    <t>Okay!</t>
  </si>
  <si>
    <t>You have been the best employer throughout my career.</t>
  </si>
  <si>
    <t>Maintain your current approach to building your reputation.</t>
  </si>
  <si>
    <t>Listen to support staff and ask for input on projects that affect them. Do not deprecate actively used, functioning processes to invest engineering hours into unrequested features. Convert more contractors to full-time roles; the company is losing valuable talent, including highly skilled PgMs, due to a lack of conversion opportunities.</t>
  </si>
  <si>
    <t>Ensure employees adhere to better handwashing hygiene.</t>
  </si>
  <si>
    <t>Many improvements are needed. Start by valuing those who genuinely work hard, rather than those who simply attend year-end retreats (which are exclusively pre-selected by permanent staff). Stop favoring sycophants, as it severely demotivates those who actually want to contribute.</t>
  </si>
  <si>
    <t>Could achieve a rating with right Management Acions.
Pros:
+Good pay
+Good technology 
+Good transferable technology to other companies
+Strong Business Financials &amp;amp; Backlogue.
?Possible career improvements with the ongoing acquisitions and restructuring?
?Potential to become a more favorable work environment as conditions settle down?</t>
  </si>
  <si>
    <t>It wasn't bad a few years ago but became toxic and intolerable.</t>
  </si>
  <si>
    <t>It's probably good that everything is so constantly chaotic. It takes years for people to be noticed as incompetent.</t>
  </si>
  <si>
    <t>No Pros! Shadiest, shittiest company you could ever work for ! Trainer was the absolute rudest! Made you feel like there was no way in hell you could be successful</t>
  </si>
  <si>
    <t>To make custom happy with service</t>
  </si>
  <si>
    <t>There‚Äôs a lot. First- Wages. It‚Äôs heartbreaking to see how much the cost of living has increased in Idaho-where they‚Äôre head quartered- and have made almost no increases to wages. Most hourly jobs base pays are 15-25% lower than the market average, which you can look at from their HR page. Some how they keep bringing on new clients and can‚Äôt figure out how to budget for more people at higher wages. When covid hit and fast food restaurants started posting their new pay at $14+ they still haven‚Äôt found a way to accommodate and adjust the pay for their employees. The benefits are not great- but that‚Äôs intentional. They market how they can save companies money on health insurance by making very high deductibles and out of pocket maxes; it‚Äôs silly to think they wouldn‚Äôt use that on their own company. They made it seem like getting bought by Anthem would be so beneficial for everyone but years later- still no changes in pay or benefits. They can‚Äôt keep up with their work load so they‚Äôve started outsourcing to ‚Äúback fill‚Äù for some teams but my guess is that those teams will end up becoming fully outsourced. Anthem is going to steamroll Ameriben and my guess is within the next 5 years (if that) Ameriben will cease to exist.</t>
  </si>
  <si>
    <t>* often unhealthy relationship across locations worldwide caused by upper management
* most/all decisions are made in Germany
* upper management and HR accepts/protects company-wide known toxic managers who bully/harass on daily basis
* there is a lot of talk about Bosch values, but upper management doesn't live by it</t>
  </si>
  <si>
    <t>-No sick pay at this became very apparent during CV19 -Medical benefits are very pricy -Because out the lack of sick time, you are forced to manage your 112 off hours as if you would get sick for a week or two a year, leaving you with maybe a week or so of vacation -like most companies, you have negotiate really hard for higher pay -</t>
  </si>
  <si>
    <t>- Com o passar do tempo a cultura faz com que voc√™ queira sair ou com que voc√™ n√£o seja um profissional t√£o bom quanto eles pedem. Ex: querem que voc√™ seja questionador, pero no mucho.
- As carteiradas de pessoas do cargo acima do seu tamb√©m s√£o frequentes, fora a politicagem, s√£o poucos os casos onde voc√™ consegue ser voc√™ mesmo e ter a possibilidade de crescer.
- N√£o vejo muita oportunidade para pessoas introvertidas, ou voc√™ joga o jogo ou n√£o vai crescer como deseja.</t>
  </si>
  <si>
    <t>Baixo sal√°rio
Dificil conseguir promo√ß√£o, quanto maior o cargo mais pol√≠tico fica para subir.
Dependendo do projeto h√° ac√∫mulo excessivo de horas extras</t>
  </si>
  <si>
    <t>Pocas, todo es muy viable y bueno</t>
  </si>
  <si>
    <t>Rien du tout, c'est parfait</t>
  </si>
  <si>
    <t>Low Pay
No advancement unless nepotism is involved.
Overworked
VERY LONG HOURS.</t>
  </si>
  <si>
    <t>no downsides to the company</t>
  </si>
  <si>
    <t>Na na na na na</t>
  </si>
  <si>
    <t>There‚Äôs a lot. First, wages. It‚Äôs heartbreaking to see how much the cost of living has increased in Idaho‚Äîwhere they‚Äôre headquartered‚Äîand they have made almost no increases to wages. Most hourly jobs base pays are 15-25% lower than the market average, which you can look at from their HR page. Somehow they keep bringing on new clients and can‚Äôt figure out how to budget for more people at higher wages. When COVID hit and fast food restaurants started posting their new pay at $14+, they still haven‚Äôt found a way to accommodate and adjust the pay for their employees. The benefits are not great, but that‚Äôs intentional. They market how they can save companies money on health insurance by making very high deductibles and out-of-pocket maximums; it‚Äôs silly to think they wouldn‚Äôt use that on their own company. They made it seem like getting bought by Anthem would be so beneficial for everyone, but years later, still no changes in pay or benefits. They can‚Äôt keep up with their workload so they‚Äôve started outsourcing to ‚Äúbackfill‚Äù for some teams, but my guess is that those teams will end up becoming fully outsourced. Anthem is going to steamroll Ameriben, and my guess is within the next 5 years (if that) Ameriben will cease to exist.</t>
  </si>
  <si>
    <t>Nothing to say about the experience I had</t>
  </si>
  <si>
    <t>summary_old</t>
  </si>
  <si>
    <t>summary_new</t>
  </si>
  <si>
    <t>advice_to_management_old</t>
  </si>
  <si>
    <t>advice_to_management_new</t>
  </si>
  <si>
    <t>review_pros_old</t>
  </si>
  <si>
    <t>review_pros_new</t>
  </si>
  <si>
    <t>review_cons_old</t>
  </si>
  <si>
    <t>review_cons_new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</si>
</sst>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rgb="FF000000"/>
      <name val="Aptos Narrow"/>
      <family val="2"/>
      <scheme val="minor"/>
    </font>
    <font>
      <b/>
      <sz val="12"/>
      <color theme="1"/>
      <name val="Aptos Narrow"/>
      <scheme val="minor"/>
    </font>
    <font>
      <sz val="12"/>
      <color theme="1"/>
      <name val="Aptos Narrow"/>
      <scheme val="minor"/>
    </font>
    <font>
      <sz val="13"/>
      <color theme="1"/>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grea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eat"/>
    </sheetNames>
    <definedNames>
      <definedName name="They"/>
    </defined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BC02A-4363-4242-A925-3A25951FAB64}">
  <dimension ref="A1:H1001"/>
  <sheetViews>
    <sheetView tabSelected="1" topLeftCell="E1" zoomScale="125" workbookViewId="0">
      <selection activeCell="G14" sqref="G14"/>
    </sheetView>
  </sheetViews>
  <sheetFormatPr baseColWidth="10" defaultRowHeight="14" customHeight="1" x14ac:dyDescent="0.2"/>
  <cols>
    <col min="1" max="6" width="62.33203125" customWidth="1"/>
    <col min="7" max="7" width="53.6640625" customWidth="1"/>
    <col min="8" max="8" width="70.1640625" customWidth="1"/>
  </cols>
  <sheetData>
    <row r="1" spans="1:8" ht="14" customHeight="1" x14ac:dyDescent="0.2">
      <c r="A1" t="s">
        <v>5992</v>
      </c>
      <c r="B1" t="s">
        <v>5993</v>
      </c>
      <c r="C1" t="s">
        <v>5994</v>
      </c>
      <c r="D1" t="s">
        <v>5995</v>
      </c>
      <c r="E1" t="s">
        <v>5996</v>
      </c>
      <c r="F1" t="s">
        <v>5997</v>
      </c>
      <c r="G1" t="s">
        <v>5998</v>
      </c>
      <c r="H1" t="s">
        <v>5999</v>
      </c>
    </row>
    <row r="2" spans="1:8" ht="14" customHeight="1" x14ac:dyDescent="0.2">
      <c r="A2" t="s">
        <v>1922</v>
      </c>
      <c r="B2" t="s">
        <v>1922</v>
      </c>
      <c r="C2" t="s">
        <v>2862</v>
      </c>
      <c r="D2" t="s">
        <v>3895</v>
      </c>
      <c r="E2" t="s">
        <v>0</v>
      </c>
      <c r="F2" t="s">
        <v>0</v>
      </c>
      <c r="G2" t="s">
        <v>1</v>
      </c>
      <c r="H2" t="s">
        <v>4190</v>
      </c>
    </row>
    <row r="3" spans="1:8" ht="14" customHeight="1" x14ac:dyDescent="0.2">
      <c r="A3" t="s">
        <v>1923</v>
      </c>
      <c r="B3" t="s">
        <v>1923</v>
      </c>
      <c r="C3" t="s">
        <v>2863</v>
      </c>
      <c r="D3" t="s">
        <v>3896</v>
      </c>
      <c r="E3" s="1" t="s">
        <v>2</v>
      </c>
      <c r="F3" t="s">
        <v>4191</v>
      </c>
      <c r="G3" s="1" t="s">
        <v>3</v>
      </c>
      <c r="H3" t="s">
        <v>4192</v>
      </c>
    </row>
    <row r="4" spans="1:8" ht="14" customHeight="1" x14ac:dyDescent="0.2">
      <c r="A4" t="s">
        <v>1924</v>
      </c>
      <c r="B4" t="s">
        <v>1924</v>
      </c>
      <c r="C4" t="s">
        <v>1947</v>
      </c>
      <c r="D4" t="s">
        <v>1947</v>
      </c>
      <c r="E4" t="s">
        <v>4</v>
      </c>
      <c r="F4" t="s">
        <v>4</v>
      </c>
      <c r="G4" t="s">
        <v>5</v>
      </c>
      <c r="H4" t="s">
        <v>5</v>
      </c>
    </row>
    <row r="5" spans="1:8" ht="14" customHeight="1" x14ac:dyDescent="0.2">
      <c r="A5" t="s">
        <v>1925</v>
      </c>
      <c r="B5" t="s">
        <v>1925</v>
      </c>
      <c r="C5" t="s">
        <v>2864</v>
      </c>
      <c r="D5" t="s">
        <v>3897</v>
      </c>
      <c r="E5" t="s">
        <v>6</v>
      </c>
      <c r="F5" t="s">
        <v>6</v>
      </c>
      <c r="G5" s="1" t="s">
        <v>7</v>
      </c>
      <c r="H5" t="s">
        <v>4193</v>
      </c>
    </row>
    <row r="6" spans="1:8" ht="14" customHeight="1" x14ac:dyDescent="0.2">
      <c r="A6" t="s">
        <v>1926</v>
      </c>
      <c r="B6" t="s">
        <v>1926</v>
      </c>
      <c r="C6" t="s">
        <v>2865</v>
      </c>
      <c r="D6" t="s">
        <v>2865</v>
      </c>
      <c r="E6" t="s">
        <v>8</v>
      </c>
      <c r="F6" t="s">
        <v>4194</v>
      </c>
      <c r="G6" s="1" t="s">
        <v>9</v>
      </c>
      <c r="H6" t="s">
        <v>4195</v>
      </c>
    </row>
    <row r="7" spans="1:8" ht="14" customHeight="1" x14ac:dyDescent="0.2">
      <c r="A7" t="s">
        <v>1927</v>
      </c>
      <c r="B7" t="s">
        <v>1927</v>
      </c>
      <c r="E7" t="s">
        <v>10</v>
      </c>
      <c r="F7" t="s">
        <v>10</v>
      </c>
      <c r="G7" t="s">
        <v>11</v>
      </c>
    </row>
    <row r="8" spans="1:8" ht="14" customHeight="1" x14ac:dyDescent="0.2">
      <c r="A8" t="s">
        <v>1928</v>
      </c>
      <c r="B8" t="s">
        <v>1928</v>
      </c>
      <c r="E8" s="1" t="s">
        <v>12</v>
      </c>
      <c r="F8" t="s">
        <v>4196</v>
      </c>
      <c r="G8" s="1" t="s">
        <v>13</v>
      </c>
      <c r="H8" t="s">
        <v>4197</v>
      </c>
    </row>
    <row r="9" spans="1:8" ht="14" customHeight="1" x14ac:dyDescent="0.2">
      <c r="A9" t="s">
        <v>1929</v>
      </c>
      <c r="B9" t="s">
        <v>1929</v>
      </c>
      <c r="E9" t="e">
        <f>- Eye-opening: Teaches you exactly how a company should not be run. - Pays the bills: the compensation is tolerable. - Diverse clientele: Exposure to a broad range of clients if you can tolerate the cons.</f>
        <v>#NAME?</v>
      </c>
      <c r="F9" t="s">
        <v>4198</v>
      </c>
      <c r="G9" t="s">
        <v>14</v>
      </c>
      <c r="H9" t="s">
        <v>4199</v>
      </c>
    </row>
    <row r="10" spans="1:8" ht="14" customHeight="1" x14ac:dyDescent="0.2">
      <c r="A10" t="s">
        <v>1930</v>
      </c>
      <c r="B10" t="s">
        <v>1930</v>
      </c>
      <c r="C10" t="s">
        <v>2866</v>
      </c>
      <c r="D10" t="s">
        <v>3898</v>
      </c>
      <c r="E10" t="s">
        <v>15</v>
      </c>
      <c r="F10" t="s">
        <v>4200</v>
      </c>
      <c r="G10" t="s">
        <v>16</v>
      </c>
      <c r="H10" t="s">
        <v>4201</v>
      </c>
    </row>
    <row r="11" spans="1:8" ht="14" customHeight="1" x14ac:dyDescent="0.2">
      <c r="A11" t="s">
        <v>1931</v>
      </c>
      <c r="B11" t="s">
        <v>1931</v>
      </c>
      <c r="E11" t="s">
        <v>17</v>
      </c>
      <c r="F11" t="s">
        <v>4202</v>
      </c>
      <c r="G11" s="1" t="s">
        <v>18</v>
      </c>
      <c r="H11" t="s">
        <v>4203</v>
      </c>
    </row>
    <row r="12" spans="1:8" ht="14" customHeight="1" x14ac:dyDescent="0.2">
      <c r="A12" t="s">
        <v>1932</v>
      </c>
      <c r="B12" t="s">
        <v>1932</v>
      </c>
      <c r="E12" t="s">
        <v>19</v>
      </c>
      <c r="F12" t="s">
        <v>4204</v>
      </c>
      <c r="G12" t="s">
        <v>20</v>
      </c>
      <c r="H12" t="s">
        <v>4205</v>
      </c>
    </row>
    <row r="13" spans="1:8" ht="14" customHeight="1" x14ac:dyDescent="0.2">
      <c r="A13" t="s">
        <v>1933</v>
      </c>
      <c r="B13" t="s">
        <v>3220</v>
      </c>
      <c r="E13" t="s">
        <v>21</v>
      </c>
      <c r="F13" t="s">
        <v>4206</v>
      </c>
      <c r="G13" s="1" t="s">
        <v>22</v>
      </c>
      <c r="H13" t="s">
        <v>4207</v>
      </c>
    </row>
    <row r="14" spans="1:8" ht="14" customHeight="1" x14ac:dyDescent="0.2">
      <c r="A14" t="s">
        <v>1934</v>
      </c>
      <c r="B14" t="s">
        <v>3221</v>
      </c>
      <c r="C14" s="1" t="s">
        <v>2867</v>
      </c>
      <c r="D14" t="s">
        <v>3899</v>
      </c>
      <c r="E14" t="s">
        <v>23</v>
      </c>
      <c r="F14" t="s">
        <v>4208</v>
      </c>
      <c r="G14" s="1" t="s">
        <v>24</v>
      </c>
      <c r="H14" t="s">
        <v>4209</v>
      </c>
    </row>
    <row r="15" spans="1:8" ht="14" customHeight="1" x14ac:dyDescent="0.2">
      <c r="A15" t="s">
        <v>1935</v>
      </c>
      <c r="B15" t="s">
        <v>1935</v>
      </c>
      <c r="E15" t="s">
        <v>25</v>
      </c>
      <c r="F15" t="s">
        <v>4210</v>
      </c>
      <c r="G15" s="1" t="s">
        <v>26</v>
      </c>
      <c r="H15" t="s">
        <v>4211</v>
      </c>
    </row>
    <row r="16" spans="1:8" ht="14" customHeight="1" x14ac:dyDescent="0.2">
      <c r="A16" t="s">
        <v>1936</v>
      </c>
      <c r="B16" t="s">
        <v>3222</v>
      </c>
      <c r="C16" s="1" t="s">
        <v>2868</v>
      </c>
      <c r="D16" t="s">
        <v>3900</v>
      </c>
      <c r="E16" t="s">
        <v>27</v>
      </c>
      <c r="F16" t="s">
        <v>4212</v>
      </c>
      <c r="G16" t="s">
        <v>28</v>
      </c>
      <c r="H16" t="s">
        <v>4213</v>
      </c>
    </row>
    <row r="17" spans="1:8" ht="14" customHeight="1" x14ac:dyDescent="0.2">
      <c r="A17" t="s">
        <v>1937</v>
      </c>
      <c r="B17" t="s">
        <v>3223</v>
      </c>
      <c r="C17" t="s">
        <v>2869</v>
      </c>
      <c r="D17" t="s">
        <v>3901</v>
      </c>
      <c r="E17" t="s">
        <v>29</v>
      </c>
      <c r="F17" t="s">
        <v>4214</v>
      </c>
      <c r="G17" t="s">
        <v>30</v>
      </c>
      <c r="H17" t="s">
        <v>4215</v>
      </c>
    </row>
    <row r="18" spans="1:8" ht="14" customHeight="1" x14ac:dyDescent="0.2">
      <c r="A18" t="s">
        <v>1938</v>
      </c>
      <c r="B18" t="s">
        <v>3224</v>
      </c>
      <c r="C18" t="s">
        <v>2870</v>
      </c>
      <c r="D18" t="s">
        <v>3902</v>
      </c>
      <c r="E18" t="s">
        <v>31</v>
      </c>
      <c r="F18" t="s">
        <v>4216</v>
      </c>
      <c r="G18" t="s">
        <v>32</v>
      </c>
      <c r="H18" t="s">
        <v>4217</v>
      </c>
    </row>
    <row r="19" spans="1:8" ht="14" customHeight="1" x14ac:dyDescent="0.2">
      <c r="A19" t="s">
        <v>1939</v>
      </c>
      <c r="B19" t="s">
        <v>3225</v>
      </c>
      <c r="E19" t="s">
        <v>33</v>
      </c>
      <c r="F19" t="s">
        <v>4218</v>
      </c>
      <c r="G19" s="1" t="s">
        <v>34</v>
      </c>
      <c r="H19" t="s">
        <v>4219</v>
      </c>
    </row>
    <row r="20" spans="1:8" ht="14" customHeight="1" x14ac:dyDescent="0.2">
      <c r="A20" t="s">
        <v>1940</v>
      </c>
      <c r="B20" t="s">
        <v>3226</v>
      </c>
      <c r="E20" t="e">
        <f>-Income is high
-Benefits package is above average</f>
        <v>#NAME?</v>
      </c>
      <c r="F20" t="s">
        <v>4220</v>
      </c>
      <c r="G20" s="1" t="s">
        <v>35</v>
      </c>
      <c r="H20" t="s">
        <v>4221</v>
      </c>
    </row>
    <row r="21" spans="1:8" ht="14" customHeight="1" x14ac:dyDescent="0.2">
      <c r="A21" t="s">
        <v>1941</v>
      </c>
      <c r="B21" t="s">
        <v>3227</v>
      </c>
      <c r="E21" t="s">
        <v>36</v>
      </c>
      <c r="F21" t="s">
        <v>4222</v>
      </c>
      <c r="G21" t="s">
        <v>37</v>
      </c>
      <c r="H21" t="s">
        <v>4223</v>
      </c>
    </row>
    <row r="22" spans="1:8" ht="14" customHeight="1" x14ac:dyDescent="0.2">
      <c r="A22" t="s">
        <v>1942</v>
      </c>
      <c r="B22" t="s">
        <v>3228</v>
      </c>
      <c r="E22" t="s">
        <v>38</v>
      </c>
      <c r="F22" t="s">
        <v>4224</v>
      </c>
      <c r="G22" t="s">
        <v>39</v>
      </c>
      <c r="H22" t="s">
        <v>4225</v>
      </c>
    </row>
    <row r="23" spans="1:8" ht="14" customHeight="1" x14ac:dyDescent="0.2">
      <c r="A23" t="s">
        <v>1943</v>
      </c>
      <c r="B23" t="s">
        <v>3229</v>
      </c>
      <c r="E23" s="1" t="s">
        <v>40</v>
      </c>
      <c r="F23" t="s">
        <v>4226</v>
      </c>
      <c r="G23" t="e">
        <f>- Smaller company, means less competitive Benefits and limitations to career growth.</f>
        <v>#NAME?</v>
      </c>
      <c r="H23" t="s">
        <v>4227</v>
      </c>
    </row>
    <row r="24" spans="1:8" ht="14" customHeight="1" x14ac:dyDescent="0.2">
      <c r="A24" t="s">
        <v>1944</v>
      </c>
      <c r="B24" t="s">
        <v>3230</v>
      </c>
      <c r="E24" t="s">
        <v>41</v>
      </c>
      <c r="F24" t="s">
        <v>4228</v>
      </c>
      <c r="G24" t="s">
        <v>42</v>
      </c>
      <c r="H24" t="s">
        <v>4229</v>
      </c>
    </row>
    <row r="25" spans="1:8" ht="14" customHeight="1" x14ac:dyDescent="0.2">
      <c r="A25" t="s">
        <v>1945</v>
      </c>
      <c r="B25" t="s">
        <v>1945</v>
      </c>
      <c r="C25" t="s">
        <v>2871</v>
      </c>
      <c r="D25" t="s">
        <v>3903</v>
      </c>
      <c r="E25" s="1" t="s">
        <v>43</v>
      </c>
      <c r="F25" t="s">
        <v>4230</v>
      </c>
      <c r="G25" s="1" t="s">
        <v>44</v>
      </c>
      <c r="H25" t="s">
        <v>4231</v>
      </c>
    </row>
    <row r="26" spans="1:8" ht="14" customHeight="1" x14ac:dyDescent="0.2">
      <c r="A26" t="s">
        <v>1946</v>
      </c>
      <c r="B26" t="s">
        <v>3231</v>
      </c>
      <c r="C26" s="1" t="s">
        <v>2872</v>
      </c>
      <c r="D26" t="s">
        <v>3904</v>
      </c>
      <c r="E26" t="s">
        <v>45</v>
      </c>
      <c r="F26" t="s">
        <v>4232</v>
      </c>
      <c r="G26" s="1" t="s">
        <v>46</v>
      </c>
      <c r="H26" t="s">
        <v>4233</v>
      </c>
    </row>
    <row r="27" spans="1:8" ht="14" customHeight="1" x14ac:dyDescent="0.2">
      <c r="A27" t="s">
        <v>1947</v>
      </c>
      <c r="B27" s="2" t="s">
        <v>1947</v>
      </c>
      <c r="C27" t="s">
        <v>2873</v>
      </c>
      <c r="E27" t="s">
        <v>47</v>
      </c>
      <c r="F27" t="s">
        <v>47</v>
      </c>
      <c r="G27" t="s">
        <v>48</v>
      </c>
      <c r="H27" t="s">
        <v>4234</v>
      </c>
    </row>
    <row r="28" spans="1:8" ht="14" customHeight="1" x14ac:dyDescent="0.2">
      <c r="A28" t="s">
        <v>1948</v>
      </c>
      <c r="B28" t="s">
        <v>3232</v>
      </c>
      <c r="C28" t="s">
        <v>2874</v>
      </c>
      <c r="D28" t="s">
        <v>3905</v>
      </c>
      <c r="E28" t="s">
        <v>49</v>
      </c>
      <c r="F28" t="s">
        <v>4235</v>
      </c>
      <c r="G28" t="s">
        <v>50</v>
      </c>
      <c r="H28" t="s">
        <v>4236</v>
      </c>
    </row>
    <row r="29" spans="1:8" ht="14" customHeight="1" x14ac:dyDescent="0.2">
      <c r="A29" t="s">
        <v>1949</v>
      </c>
      <c r="B29" t="s">
        <v>3233</v>
      </c>
      <c r="E29" t="s">
        <v>51</v>
      </c>
      <c r="F29" t="s">
        <v>4237</v>
      </c>
      <c r="G29" t="s">
        <v>52</v>
      </c>
      <c r="H29" t="s">
        <v>4238</v>
      </c>
    </row>
    <row r="30" spans="1:8" ht="14" customHeight="1" x14ac:dyDescent="0.2">
      <c r="A30" t="s">
        <v>1950</v>
      </c>
      <c r="B30" t="s">
        <v>3234</v>
      </c>
      <c r="C30" t="s">
        <v>2875</v>
      </c>
      <c r="D30" t="s">
        <v>3906</v>
      </c>
      <c r="E30" t="s">
        <v>53</v>
      </c>
      <c r="F30" t="s">
        <v>4239</v>
      </c>
      <c r="G30" s="1" t="s">
        <v>54</v>
      </c>
      <c r="H30" t="s">
        <v>4240</v>
      </c>
    </row>
    <row r="31" spans="1:8" ht="14" customHeight="1" x14ac:dyDescent="0.2">
      <c r="A31" t="s">
        <v>1951</v>
      </c>
      <c r="B31" t="s">
        <v>3235</v>
      </c>
      <c r="C31" t="s">
        <v>2876</v>
      </c>
      <c r="D31" t="s">
        <v>3907</v>
      </c>
      <c r="E31" s="1" t="s">
        <v>55</v>
      </c>
      <c r="F31" t="s">
        <v>4241</v>
      </c>
      <c r="G31" t="s">
        <v>56</v>
      </c>
      <c r="H31" t="s">
        <v>4242</v>
      </c>
    </row>
    <row r="32" spans="1:8" ht="14" customHeight="1" x14ac:dyDescent="0.2">
      <c r="A32" t="s">
        <v>1952</v>
      </c>
      <c r="B32" t="s">
        <v>3236</v>
      </c>
      <c r="C32" t="s">
        <v>2877</v>
      </c>
      <c r="D32" t="s">
        <v>3908</v>
      </c>
      <c r="E32" t="s">
        <v>57</v>
      </c>
      <c r="F32" t="s">
        <v>4243</v>
      </c>
      <c r="G32" s="1" t="s">
        <v>58</v>
      </c>
      <c r="H32" t="s">
        <v>4244</v>
      </c>
    </row>
    <row r="33" spans="1:8" ht="14" customHeight="1" x14ac:dyDescent="0.2">
      <c r="A33" t="s">
        <v>1953</v>
      </c>
      <c r="B33" t="s">
        <v>3237</v>
      </c>
      <c r="C33" t="s">
        <v>2878</v>
      </c>
      <c r="D33" t="s">
        <v>3909</v>
      </c>
      <c r="E33" t="s">
        <v>59</v>
      </c>
      <c r="F33" t="s">
        <v>4245</v>
      </c>
      <c r="G33" t="s">
        <v>60</v>
      </c>
      <c r="H33" t="s">
        <v>4246</v>
      </c>
    </row>
    <row r="34" spans="1:8" ht="14" customHeight="1" x14ac:dyDescent="0.2">
      <c r="A34" t="s">
        <v>1954</v>
      </c>
      <c r="B34" t="s">
        <v>3238</v>
      </c>
      <c r="E34" t="s">
        <v>61</v>
      </c>
      <c r="F34" t="s">
        <v>4247</v>
      </c>
      <c r="G34" t="s">
        <v>62</v>
      </c>
      <c r="H34" t="s">
        <v>4248</v>
      </c>
    </row>
    <row r="35" spans="1:8" ht="14" customHeight="1" x14ac:dyDescent="0.2">
      <c r="A35" t="s">
        <v>1955</v>
      </c>
      <c r="B35" t="s">
        <v>3239</v>
      </c>
      <c r="C35" t="s">
        <v>2879</v>
      </c>
      <c r="D35" t="s">
        <v>3910</v>
      </c>
      <c r="E35" t="s">
        <v>63</v>
      </c>
      <c r="F35" t="s">
        <v>4249</v>
      </c>
      <c r="G35" t="s">
        <v>64</v>
      </c>
      <c r="H35" t="s">
        <v>4250</v>
      </c>
    </row>
    <row r="36" spans="1:8" ht="14" customHeight="1" x14ac:dyDescent="0.2">
      <c r="A36" t="s">
        <v>1956</v>
      </c>
      <c r="B36" t="s">
        <v>3240</v>
      </c>
      <c r="C36" s="1" t="s">
        <v>2880</v>
      </c>
      <c r="D36" t="s">
        <v>3911</v>
      </c>
      <c r="E36" s="1" t="s">
        <v>65</v>
      </c>
      <c r="F36" t="s">
        <v>4251</v>
      </c>
      <c r="G36" s="1" t="s">
        <v>66</v>
      </c>
      <c r="H36" t="s">
        <v>4252</v>
      </c>
    </row>
    <row r="37" spans="1:8" ht="14" customHeight="1" x14ac:dyDescent="0.2">
      <c r="A37" t="s">
        <v>1957</v>
      </c>
      <c r="B37" t="s">
        <v>3241</v>
      </c>
      <c r="C37" t="s">
        <v>2881</v>
      </c>
      <c r="D37" t="s">
        <v>2881</v>
      </c>
      <c r="E37" t="s">
        <v>67</v>
      </c>
      <c r="F37" t="s">
        <v>4253</v>
      </c>
      <c r="G37" t="s">
        <v>68</v>
      </c>
      <c r="H37" t="s">
        <v>4254</v>
      </c>
    </row>
    <row r="38" spans="1:8" ht="14" customHeight="1" x14ac:dyDescent="0.2">
      <c r="A38" t="s">
        <v>1958</v>
      </c>
      <c r="B38" t="s">
        <v>3242</v>
      </c>
      <c r="E38" t="s">
        <v>69</v>
      </c>
      <c r="F38" t="s">
        <v>4255</v>
      </c>
      <c r="G38" t="s">
        <v>70</v>
      </c>
      <c r="H38" t="s">
        <v>4256</v>
      </c>
    </row>
    <row r="39" spans="1:8" ht="14" customHeight="1" x14ac:dyDescent="0.2">
      <c r="A39" t="s">
        <v>1959</v>
      </c>
      <c r="B39" t="s">
        <v>3243</v>
      </c>
      <c r="E39" t="s">
        <v>71</v>
      </c>
      <c r="F39" t="s">
        <v>4257</v>
      </c>
      <c r="G39" t="s">
        <v>72</v>
      </c>
      <c r="H39" t="s">
        <v>4258</v>
      </c>
    </row>
    <row r="40" spans="1:8" ht="14" customHeight="1" x14ac:dyDescent="0.2">
      <c r="A40" t="s">
        <v>1960</v>
      </c>
      <c r="B40" t="s">
        <v>1960</v>
      </c>
      <c r="C40" t="s">
        <v>2163</v>
      </c>
      <c r="D40" t="s">
        <v>2163</v>
      </c>
      <c r="E40" t="s">
        <v>73</v>
      </c>
      <c r="F40" t="s">
        <v>4259</v>
      </c>
      <c r="G40" t="s">
        <v>74</v>
      </c>
      <c r="H40" t="s">
        <v>4260</v>
      </c>
    </row>
    <row r="41" spans="1:8" ht="14" customHeight="1" x14ac:dyDescent="0.2">
      <c r="A41" t="s">
        <v>1961</v>
      </c>
      <c r="B41" t="s">
        <v>3244</v>
      </c>
      <c r="E41" t="s">
        <v>75</v>
      </c>
      <c r="F41" t="s">
        <v>4261</v>
      </c>
      <c r="G41" t="s">
        <v>76</v>
      </c>
      <c r="H41" t="s">
        <v>4262</v>
      </c>
    </row>
    <row r="42" spans="1:8" ht="14" customHeight="1" x14ac:dyDescent="0.2">
      <c r="A42" t="s">
        <v>1962</v>
      </c>
      <c r="B42" t="s">
        <v>3245</v>
      </c>
      <c r="C42" t="s">
        <v>2882</v>
      </c>
      <c r="D42" t="s">
        <v>3912</v>
      </c>
      <c r="E42" t="s">
        <v>77</v>
      </c>
      <c r="F42" t="s">
        <v>4263</v>
      </c>
      <c r="G42" t="s">
        <v>78</v>
      </c>
      <c r="H42" t="s">
        <v>78</v>
      </c>
    </row>
    <row r="43" spans="1:8" ht="14" customHeight="1" x14ac:dyDescent="0.2">
      <c r="A43" t="s">
        <v>1963</v>
      </c>
      <c r="B43" t="s">
        <v>3246</v>
      </c>
      <c r="C43" s="1" t="s">
        <v>2883</v>
      </c>
      <c r="D43" t="s">
        <v>3913</v>
      </c>
      <c r="E43" s="1" t="s">
        <v>79</v>
      </c>
      <c r="F43" t="s">
        <v>4264</v>
      </c>
      <c r="G43" s="1" t="s">
        <v>80</v>
      </c>
      <c r="H43" t="s">
        <v>4265</v>
      </c>
    </row>
    <row r="44" spans="1:8" ht="14" customHeight="1" x14ac:dyDescent="0.2">
      <c r="A44" t="s">
        <v>1964</v>
      </c>
      <c r="B44" t="s">
        <v>3247</v>
      </c>
      <c r="C44" t="s">
        <v>2884</v>
      </c>
      <c r="D44" t="s">
        <v>3914</v>
      </c>
      <c r="E44" t="s">
        <v>81</v>
      </c>
      <c r="F44" t="s">
        <v>4266</v>
      </c>
      <c r="G44" t="s">
        <v>82</v>
      </c>
      <c r="H44" t="s">
        <v>4267</v>
      </c>
    </row>
    <row r="45" spans="1:8" ht="14" customHeight="1" x14ac:dyDescent="0.2">
      <c r="A45" t="s">
        <v>1965</v>
      </c>
      <c r="B45" t="s">
        <v>3248</v>
      </c>
      <c r="C45" t="s">
        <v>2885</v>
      </c>
      <c r="D45" t="s">
        <v>2885</v>
      </c>
      <c r="E45" t="s">
        <v>83</v>
      </c>
      <c r="F45" t="s">
        <v>4268</v>
      </c>
      <c r="G45" t="s">
        <v>84</v>
      </c>
      <c r="H45" t="s">
        <v>4269</v>
      </c>
    </row>
    <row r="46" spans="1:8" ht="14" customHeight="1" x14ac:dyDescent="0.2">
      <c r="A46" t="s">
        <v>1966</v>
      </c>
      <c r="B46" t="s">
        <v>3249</v>
      </c>
      <c r="E46" t="s">
        <v>85</v>
      </c>
      <c r="G46" s="1" t="s">
        <v>86</v>
      </c>
      <c r="H46" t="s">
        <v>4270</v>
      </c>
    </row>
    <row r="47" spans="1:8" ht="14" customHeight="1" x14ac:dyDescent="0.2">
      <c r="A47" t="s">
        <v>1967</v>
      </c>
      <c r="B47" t="s">
        <v>3250</v>
      </c>
      <c r="C47" s="1" t="s">
        <v>2886</v>
      </c>
      <c r="D47" t="s">
        <v>3915</v>
      </c>
      <c r="E47" t="s">
        <v>87</v>
      </c>
      <c r="F47" t="s">
        <v>4271</v>
      </c>
      <c r="G47" t="s">
        <v>88</v>
      </c>
      <c r="H47" t="s">
        <v>4272</v>
      </c>
    </row>
    <row r="48" spans="1:8" ht="14" customHeight="1" x14ac:dyDescent="0.2">
      <c r="A48" t="s">
        <v>1968</v>
      </c>
      <c r="B48" t="s">
        <v>5967</v>
      </c>
      <c r="C48" t="s">
        <v>2887</v>
      </c>
      <c r="E48" t="s">
        <v>89</v>
      </c>
      <c r="F48" t="s">
        <v>4273</v>
      </c>
      <c r="G48" t="s">
        <v>90</v>
      </c>
      <c r="H48" t="s">
        <v>4274</v>
      </c>
    </row>
    <row r="49" spans="1:8" ht="14" customHeight="1" x14ac:dyDescent="0.2">
      <c r="A49" t="s">
        <v>1969</v>
      </c>
      <c r="B49" t="s">
        <v>3251</v>
      </c>
      <c r="C49" t="s">
        <v>2888</v>
      </c>
      <c r="D49" t="s">
        <v>3916</v>
      </c>
      <c r="E49" t="s">
        <v>91</v>
      </c>
      <c r="F49" t="s">
        <v>4275</v>
      </c>
      <c r="G49" s="1" t="s">
        <v>92</v>
      </c>
      <c r="H49" t="s">
        <v>4276</v>
      </c>
    </row>
    <row r="50" spans="1:8" ht="14" customHeight="1" x14ac:dyDescent="0.2">
      <c r="A50" t="s">
        <v>1970</v>
      </c>
      <c r="B50" t="s">
        <v>3252</v>
      </c>
      <c r="C50" t="s">
        <v>2889</v>
      </c>
      <c r="D50" t="s">
        <v>3917</v>
      </c>
      <c r="E50" t="s">
        <v>93</v>
      </c>
      <c r="F50" t="s">
        <v>4277</v>
      </c>
      <c r="G50" t="s">
        <v>94</v>
      </c>
      <c r="H50" t="s">
        <v>4278</v>
      </c>
    </row>
    <row r="51" spans="1:8" ht="14" customHeight="1" x14ac:dyDescent="0.2">
      <c r="A51" t="s">
        <v>1971</v>
      </c>
      <c r="B51" t="s">
        <v>1971</v>
      </c>
      <c r="C51" t="s">
        <v>2890</v>
      </c>
      <c r="D51" t="s">
        <v>3918</v>
      </c>
      <c r="E51" t="s">
        <v>95</v>
      </c>
      <c r="F51" t="s">
        <v>4279</v>
      </c>
      <c r="G51" t="s">
        <v>96</v>
      </c>
      <c r="H51" t="s">
        <v>4280</v>
      </c>
    </row>
    <row r="52" spans="1:8" ht="14" customHeight="1" x14ac:dyDescent="0.2">
      <c r="A52" t="s">
        <v>1972</v>
      </c>
      <c r="B52" t="s">
        <v>1972</v>
      </c>
      <c r="E52" t="s">
        <v>97</v>
      </c>
      <c r="F52" t="s">
        <v>97</v>
      </c>
      <c r="G52" t="s">
        <v>98</v>
      </c>
      <c r="H52" t="s">
        <v>4281</v>
      </c>
    </row>
    <row r="53" spans="1:8" ht="14" customHeight="1" x14ac:dyDescent="0.2">
      <c r="A53" t="s">
        <v>1973</v>
      </c>
      <c r="B53" t="s">
        <v>1973</v>
      </c>
      <c r="E53" t="s">
        <v>99</v>
      </c>
      <c r="F53" t="s">
        <v>4282</v>
      </c>
      <c r="G53" t="s">
        <v>100</v>
      </c>
      <c r="H53" t="s">
        <v>4283</v>
      </c>
    </row>
    <row r="54" spans="1:8" ht="14" customHeight="1" x14ac:dyDescent="0.2">
      <c r="A54" t="s">
        <v>1974</v>
      </c>
      <c r="B54" t="s">
        <v>1974</v>
      </c>
      <c r="C54" s="1" t="s">
        <v>2891</v>
      </c>
      <c r="D54" t="s">
        <v>3919</v>
      </c>
      <c r="E54" s="1" t="s">
        <v>101</v>
      </c>
      <c r="F54" t="s">
        <v>4284</v>
      </c>
      <c r="G54" s="1" t="s">
        <v>102</v>
      </c>
      <c r="H54" t="s">
        <v>4285</v>
      </c>
    </row>
    <row r="55" spans="1:8" ht="14" customHeight="1" x14ac:dyDescent="0.2">
      <c r="A55" t="s">
        <v>1975</v>
      </c>
      <c r="B55" t="s">
        <v>1975</v>
      </c>
      <c r="C55" t="s">
        <v>2892</v>
      </c>
      <c r="D55" t="s">
        <v>3920</v>
      </c>
      <c r="E55" t="s">
        <v>103</v>
      </c>
      <c r="F55" t="s">
        <v>4286</v>
      </c>
      <c r="G55" t="s">
        <v>104</v>
      </c>
      <c r="H55" t="s">
        <v>4287</v>
      </c>
    </row>
    <row r="56" spans="1:8" ht="14" customHeight="1" x14ac:dyDescent="0.2">
      <c r="A56" t="s">
        <v>1976</v>
      </c>
      <c r="B56" t="s">
        <v>1976</v>
      </c>
      <c r="C56" t="s">
        <v>2893</v>
      </c>
      <c r="D56" t="s">
        <v>3921</v>
      </c>
      <c r="E56" t="s">
        <v>105</v>
      </c>
      <c r="F56" t="s">
        <v>4288</v>
      </c>
      <c r="G56" t="s">
        <v>106</v>
      </c>
      <c r="H56" t="s">
        <v>4289</v>
      </c>
    </row>
    <row r="57" spans="1:8" ht="14" customHeight="1" x14ac:dyDescent="0.2">
      <c r="A57" t="s">
        <v>1977</v>
      </c>
      <c r="C57" t="s">
        <v>2894</v>
      </c>
      <c r="D57" t="s">
        <v>3922</v>
      </c>
      <c r="E57" t="s">
        <v>107</v>
      </c>
      <c r="F57" t="s">
        <v>107</v>
      </c>
      <c r="G57" t="s">
        <v>108</v>
      </c>
      <c r="H57" t="s">
        <v>4290</v>
      </c>
    </row>
    <row r="58" spans="1:8" ht="14" customHeight="1" x14ac:dyDescent="0.2">
      <c r="A58" t="s">
        <v>1978</v>
      </c>
      <c r="C58" t="s">
        <v>2895</v>
      </c>
      <c r="E58" t="s">
        <v>109</v>
      </c>
      <c r="F58" t="s">
        <v>4291</v>
      </c>
      <c r="G58" t="s">
        <v>110</v>
      </c>
      <c r="H58" t="s">
        <v>4292</v>
      </c>
    </row>
    <row r="59" spans="1:8" ht="14" customHeight="1" x14ac:dyDescent="0.2">
      <c r="A59" t="s">
        <v>1979</v>
      </c>
      <c r="C59" t="s">
        <v>2896</v>
      </c>
      <c r="E59" t="s">
        <v>111</v>
      </c>
      <c r="F59" t="s">
        <v>4293</v>
      </c>
      <c r="G59" t="s">
        <v>112</v>
      </c>
      <c r="H59" t="s">
        <v>4294</v>
      </c>
    </row>
    <row r="60" spans="1:8" ht="14" customHeight="1" x14ac:dyDescent="0.2">
      <c r="A60" t="s">
        <v>1980</v>
      </c>
      <c r="B60" t="s">
        <v>1980</v>
      </c>
      <c r="C60" t="s">
        <v>2897</v>
      </c>
      <c r="D60" t="s">
        <v>3923</v>
      </c>
      <c r="E60" s="1" t="s">
        <v>113</v>
      </c>
      <c r="F60" t="s">
        <v>4295</v>
      </c>
      <c r="G60" s="1" t="s">
        <v>114</v>
      </c>
      <c r="H60" t="s">
        <v>4296</v>
      </c>
    </row>
    <row r="61" spans="1:8" ht="14" customHeight="1" x14ac:dyDescent="0.2">
      <c r="A61" t="s">
        <v>1981</v>
      </c>
      <c r="B61" t="s">
        <v>1981</v>
      </c>
      <c r="C61" t="s">
        <v>2898</v>
      </c>
      <c r="D61" t="s">
        <v>3924</v>
      </c>
      <c r="E61" t="s">
        <v>115</v>
      </c>
      <c r="F61" t="s">
        <v>4297</v>
      </c>
      <c r="G61" t="s">
        <v>5979</v>
      </c>
    </row>
    <row r="62" spans="1:8" ht="14" customHeight="1" x14ac:dyDescent="0.2">
      <c r="A62" t="s">
        <v>1982</v>
      </c>
      <c r="B62" t="s">
        <v>1982</v>
      </c>
      <c r="E62" t="s">
        <v>116</v>
      </c>
      <c r="F62" t="s">
        <v>4298</v>
      </c>
      <c r="G62" t="s">
        <v>117</v>
      </c>
      <c r="H62" t="s">
        <v>4299</v>
      </c>
    </row>
    <row r="63" spans="1:8" ht="14" customHeight="1" x14ac:dyDescent="0.2">
      <c r="A63" t="s">
        <v>1983</v>
      </c>
      <c r="B63" t="s">
        <v>1983</v>
      </c>
      <c r="C63" t="s">
        <v>2899</v>
      </c>
      <c r="D63" t="s">
        <v>3925</v>
      </c>
      <c r="E63" t="s">
        <v>118</v>
      </c>
      <c r="F63" t="s">
        <v>4300</v>
      </c>
      <c r="G63" t="s">
        <v>119</v>
      </c>
      <c r="H63" t="s">
        <v>4301</v>
      </c>
    </row>
    <row r="64" spans="1:8" ht="14" customHeight="1" x14ac:dyDescent="0.2">
      <c r="A64" t="s">
        <v>1984</v>
      </c>
      <c r="B64" t="s">
        <v>3253</v>
      </c>
      <c r="C64" s="1" t="s">
        <v>2900</v>
      </c>
      <c r="D64" t="s">
        <v>3926</v>
      </c>
      <c r="E64" t="s">
        <v>120</v>
      </c>
      <c r="F64" t="s">
        <v>4302</v>
      </c>
      <c r="G64" s="1" t="s">
        <v>121</v>
      </c>
      <c r="H64" t="s">
        <v>4303</v>
      </c>
    </row>
    <row r="65" spans="1:8" ht="14" customHeight="1" x14ac:dyDescent="0.2">
      <c r="A65" t="s">
        <v>1985</v>
      </c>
      <c r="B65" t="s">
        <v>3254</v>
      </c>
      <c r="C65" t="s">
        <v>2901</v>
      </c>
      <c r="D65" t="s">
        <v>2901</v>
      </c>
      <c r="E65" s="1" t="s">
        <v>122</v>
      </c>
      <c r="F65" t="s">
        <v>4304</v>
      </c>
      <c r="G65" s="1" t="s">
        <v>123</v>
      </c>
      <c r="H65" t="s">
        <v>4305</v>
      </c>
    </row>
    <row r="66" spans="1:8" ht="14" customHeight="1" x14ac:dyDescent="0.2">
      <c r="A66" t="s">
        <v>1986</v>
      </c>
      <c r="B66" t="s">
        <v>1986</v>
      </c>
      <c r="E66" t="s">
        <v>124</v>
      </c>
      <c r="F66" t="s">
        <v>4306</v>
      </c>
      <c r="G66" t="s">
        <v>125</v>
      </c>
      <c r="H66" t="s">
        <v>4307</v>
      </c>
    </row>
    <row r="67" spans="1:8" ht="14" customHeight="1" x14ac:dyDescent="0.2">
      <c r="A67" t="s">
        <v>1987</v>
      </c>
      <c r="B67" t="s">
        <v>1987</v>
      </c>
      <c r="C67" t="s">
        <v>2902</v>
      </c>
      <c r="D67" t="s">
        <v>3927</v>
      </c>
      <c r="E67" t="s">
        <v>126</v>
      </c>
      <c r="F67" t="s">
        <v>4308</v>
      </c>
      <c r="G67" t="s">
        <v>127</v>
      </c>
      <c r="H67" t="s">
        <v>4309</v>
      </c>
    </row>
    <row r="68" spans="1:8" ht="14" customHeight="1" x14ac:dyDescent="0.2">
      <c r="A68" t="s">
        <v>1988</v>
      </c>
      <c r="B68" t="s">
        <v>1988</v>
      </c>
      <c r="C68" t="s">
        <v>2903</v>
      </c>
      <c r="D68" t="s">
        <v>3928</v>
      </c>
      <c r="E68" t="s">
        <v>128</v>
      </c>
      <c r="F68" t="s">
        <v>4310</v>
      </c>
      <c r="G68" t="s">
        <v>129</v>
      </c>
      <c r="H68" t="s">
        <v>4311</v>
      </c>
    </row>
    <row r="69" spans="1:8" ht="14" customHeight="1" x14ac:dyDescent="0.2">
      <c r="A69" t="s">
        <v>1989</v>
      </c>
      <c r="B69" t="s">
        <v>1989</v>
      </c>
      <c r="C69" t="s">
        <v>2904</v>
      </c>
      <c r="D69" t="s">
        <v>3929</v>
      </c>
      <c r="E69" t="s">
        <v>130</v>
      </c>
      <c r="F69" t="s">
        <v>4312</v>
      </c>
      <c r="G69" t="s">
        <v>131</v>
      </c>
      <c r="H69" t="s">
        <v>4313</v>
      </c>
    </row>
    <row r="70" spans="1:8" ht="14" customHeight="1" x14ac:dyDescent="0.2">
      <c r="A70" t="s">
        <v>1990</v>
      </c>
      <c r="B70" t="s">
        <v>3255</v>
      </c>
      <c r="E70" t="s">
        <v>132</v>
      </c>
      <c r="F70" t="s">
        <v>4314</v>
      </c>
      <c r="G70" t="s">
        <v>133</v>
      </c>
      <c r="H70" t="s">
        <v>4315</v>
      </c>
    </row>
    <row r="71" spans="1:8" ht="14" customHeight="1" x14ac:dyDescent="0.2">
      <c r="A71" t="s">
        <v>1991</v>
      </c>
      <c r="B71" t="s">
        <v>1991</v>
      </c>
      <c r="E71" t="s">
        <v>134</v>
      </c>
      <c r="F71" t="s">
        <v>4316</v>
      </c>
      <c r="G71" t="s">
        <v>135</v>
      </c>
      <c r="H71" t="s">
        <v>4317</v>
      </c>
    </row>
    <row r="72" spans="1:8" ht="14" customHeight="1" x14ac:dyDescent="0.2">
      <c r="A72" t="s">
        <v>1992</v>
      </c>
      <c r="B72" t="s">
        <v>5966</v>
      </c>
      <c r="E72" t="s">
        <v>136</v>
      </c>
      <c r="F72" t="s">
        <v>136</v>
      </c>
      <c r="G72" t="s">
        <v>5980</v>
      </c>
      <c r="H72" t="s">
        <v>5990</v>
      </c>
    </row>
    <row r="73" spans="1:8" ht="14" customHeight="1" x14ac:dyDescent="0.2">
      <c r="A73" t="s">
        <v>1993</v>
      </c>
      <c r="B73" t="s">
        <v>1993</v>
      </c>
      <c r="E73" s="1" t="s">
        <v>137</v>
      </c>
      <c r="F73" t="s">
        <v>4318</v>
      </c>
      <c r="G73" s="1" t="s">
        <v>5981</v>
      </c>
      <c r="H73" t="s">
        <v>4319</v>
      </c>
    </row>
    <row r="74" spans="1:8" ht="14" customHeight="1" x14ac:dyDescent="0.2">
      <c r="A74" t="s">
        <v>1994</v>
      </c>
      <c r="B74" t="s">
        <v>1994</v>
      </c>
      <c r="E74" t="s">
        <v>138</v>
      </c>
      <c r="F74" t="s">
        <v>4320</v>
      </c>
      <c r="G74" t="s">
        <v>139</v>
      </c>
      <c r="H74" t="s">
        <v>4321</v>
      </c>
    </row>
    <row r="75" spans="1:8" ht="14" customHeight="1" x14ac:dyDescent="0.2">
      <c r="A75" t="s">
        <v>1995</v>
      </c>
      <c r="B75" t="s">
        <v>1995</v>
      </c>
      <c r="C75" t="s">
        <v>2905</v>
      </c>
      <c r="D75" t="s">
        <v>3930</v>
      </c>
      <c r="E75" t="s">
        <v>140</v>
      </c>
      <c r="F75" t="s">
        <v>4322</v>
      </c>
      <c r="G75" t="s">
        <v>141</v>
      </c>
      <c r="H75" t="s">
        <v>4323</v>
      </c>
    </row>
    <row r="76" spans="1:8" ht="14" customHeight="1" x14ac:dyDescent="0.2">
      <c r="A76" t="s">
        <v>1996</v>
      </c>
      <c r="B76" t="s">
        <v>3256</v>
      </c>
      <c r="C76" t="s">
        <v>2906</v>
      </c>
      <c r="D76" t="s">
        <v>3931</v>
      </c>
      <c r="E76" s="1" t="s">
        <v>142</v>
      </c>
      <c r="F76" t="s">
        <v>4324</v>
      </c>
      <c r="G76" t="s">
        <v>143</v>
      </c>
      <c r="H76" t="s">
        <v>4325</v>
      </c>
    </row>
    <row r="77" spans="1:8" ht="14" customHeight="1" x14ac:dyDescent="0.2">
      <c r="A77" t="s">
        <v>1997</v>
      </c>
      <c r="B77" t="s">
        <v>3257</v>
      </c>
      <c r="E77" t="s">
        <v>144</v>
      </c>
      <c r="F77" t="s">
        <v>4326</v>
      </c>
      <c r="G77" t="s">
        <v>145</v>
      </c>
      <c r="H77" t="s">
        <v>4327</v>
      </c>
    </row>
    <row r="78" spans="1:8" ht="14" customHeight="1" x14ac:dyDescent="0.2">
      <c r="A78" t="s">
        <v>1998</v>
      </c>
      <c r="B78" t="s">
        <v>1998</v>
      </c>
      <c r="C78" t="s">
        <v>2907</v>
      </c>
      <c r="D78" t="s">
        <v>3932</v>
      </c>
      <c r="E78" t="s">
        <v>146</v>
      </c>
      <c r="F78" t="s">
        <v>4328</v>
      </c>
      <c r="G78" t="s">
        <v>147</v>
      </c>
      <c r="H78" t="s">
        <v>4329</v>
      </c>
    </row>
    <row r="79" spans="1:8" ht="14" customHeight="1" x14ac:dyDescent="0.2">
      <c r="A79" t="s">
        <v>1999</v>
      </c>
      <c r="B79" t="s">
        <v>1999</v>
      </c>
      <c r="E79" t="s">
        <v>148</v>
      </c>
      <c r="F79" t="s">
        <v>4330</v>
      </c>
      <c r="G79" t="s">
        <v>149</v>
      </c>
      <c r="H79" t="s">
        <v>4331</v>
      </c>
    </row>
    <row r="80" spans="1:8" ht="14" customHeight="1" x14ac:dyDescent="0.2">
      <c r="A80" t="s">
        <v>2000</v>
      </c>
      <c r="B80" t="s">
        <v>2000</v>
      </c>
      <c r="E80" t="s">
        <v>150</v>
      </c>
      <c r="F80" t="s">
        <v>4332</v>
      </c>
      <c r="G80" t="s">
        <v>151</v>
      </c>
      <c r="H80" t="s">
        <v>4333</v>
      </c>
    </row>
    <row r="81" spans="1:8" ht="14" customHeight="1" x14ac:dyDescent="0.2">
      <c r="A81" t="s">
        <v>2001</v>
      </c>
      <c r="B81" t="s">
        <v>2001</v>
      </c>
      <c r="E81" s="1" t="s">
        <v>152</v>
      </c>
      <c r="F81" t="s">
        <v>4334</v>
      </c>
      <c r="G81" t="s">
        <v>153</v>
      </c>
      <c r="H81" t="s">
        <v>4335</v>
      </c>
    </row>
    <row r="82" spans="1:8" ht="14" customHeight="1" x14ac:dyDescent="0.2">
      <c r="A82" t="s">
        <v>2002</v>
      </c>
      <c r="B82" t="s">
        <v>2002</v>
      </c>
      <c r="C82" t="s">
        <v>2908</v>
      </c>
      <c r="D82" t="s">
        <v>3933</v>
      </c>
      <c r="E82" t="s">
        <v>154</v>
      </c>
      <c r="F82" t="s">
        <v>4336</v>
      </c>
      <c r="G82" t="s">
        <v>155</v>
      </c>
      <c r="H82" t="s">
        <v>4337</v>
      </c>
    </row>
    <row r="83" spans="1:8" ht="14" customHeight="1" x14ac:dyDescent="0.2">
      <c r="A83" t="s">
        <v>2003</v>
      </c>
      <c r="B83" t="s">
        <v>2003</v>
      </c>
      <c r="E83" t="s">
        <v>156</v>
      </c>
      <c r="F83" t="s">
        <v>4338</v>
      </c>
      <c r="G83" t="s">
        <v>157</v>
      </c>
      <c r="H83" t="s">
        <v>4339</v>
      </c>
    </row>
    <row r="84" spans="1:8" ht="14" customHeight="1" x14ac:dyDescent="0.2">
      <c r="A84" t="s">
        <v>2004</v>
      </c>
      <c r="B84" t="s">
        <v>2004</v>
      </c>
      <c r="E84" t="s">
        <v>158</v>
      </c>
      <c r="F84" t="s">
        <v>158</v>
      </c>
      <c r="G84" t="s">
        <v>159</v>
      </c>
      <c r="H84" t="s">
        <v>4340</v>
      </c>
    </row>
    <row r="85" spans="1:8" ht="14" customHeight="1" x14ac:dyDescent="0.2">
      <c r="A85" t="s">
        <v>2005</v>
      </c>
      <c r="B85" t="s">
        <v>2005</v>
      </c>
      <c r="E85" t="s">
        <v>160</v>
      </c>
      <c r="F85" t="s">
        <v>160</v>
      </c>
      <c r="G85" t="s">
        <v>161</v>
      </c>
      <c r="H85" t="s">
        <v>4341</v>
      </c>
    </row>
    <row r="86" spans="1:8" ht="14" customHeight="1" x14ac:dyDescent="0.2">
      <c r="A86" t="s">
        <v>2006</v>
      </c>
      <c r="B86" t="s">
        <v>2006</v>
      </c>
      <c r="E86" t="s">
        <v>162</v>
      </c>
      <c r="F86" t="s">
        <v>4342</v>
      </c>
      <c r="G86" t="s">
        <v>163</v>
      </c>
      <c r="H86" t="s">
        <v>4343</v>
      </c>
    </row>
    <row r="87" spans="1:8" ht="14" customHeight="1" x14ac:dyDescent="0.2">
      <c r="A87" t="s">
        <v>2007</v>
      </c>
      <c r="B87" t="s">
        <v>3258</v>
      </c>
      <c r="E87" t="s">
        <v>164</v>
      </c>
      <c r="F87" t="s">
        <v>4344</v>
      </c>
      <c r="G87" s="1" t="s">
        <v>165</v>
      </c>
      <c r="H87" t="s">
        <v>4345</v>
      </c>
    </row>
    <row r="88" spans="1:8" ht="14" customHeight="1" x14ac:dyDescent="0.2">
      <c r="A88" t="s">
        <v>2008</v>
      </c>
      <c r="B88" t="s">
        <v>2008</v>
      </c>
      <c r="E88" t="s">
        <v>166</v>
      </c>
      <c r="F88" t="s">
        <v>4346</v>
      </c>
      <c r="G88" t="s">
        <v>167</v>
      </c>
      <c r="H88" t="s">
        <v>4347</v>
      </c>
    </row>
    <row r="89" spans="1:8" ht="14" customHeight="1" x14ac:dyDescent="0.2">
      <c r="A89" t="s">
        <v>2009</v>
      </c>
      <c r="B89" t="s">
        <v>2009</v>
      </c>
      <c r="E89" t="s">
        <v>168</v>
      </c>
      <c r="F89" t="s">
        <v>4348</v>
      </c>
      <c r="G89" t="s">
        <v>5982</v>
      </c>
      <c r="H89" t="s">
        <v>4349</v>
      </c>
    </row>
    <row r="90" spans="1:8" ht="14" customHeight="1" x14ac:dyDescent="0.2">
      <c r="A90" t="s">
        <v>2010</v>
      </c>
      <c r="B90" t="s">
        <v>2010</v>
      </c>
      <c r="E90" t="s">
        <v>169</v>
      </c>
      <c r="F90" t="s">
        <v>4350</v>
      </c>
      <c r="G90" t="s">
        <v>170</v>
      </c>
      <c r="H90" t="s">
        <v>4351</v>
      </c>
    </row>
    <row r="91" spans="1:8" ht="14" customHeight="1" x14ac:dyDescent="0.2">
      <c r="A91" t="s">
        <v>2011</v>
      </c>
      <c r="B91" t="s">
        <v>2011</v>
      </c>
      <c r="C91" t="s">
        <v>2909</v>
      </c>
      <c r="D91" t="s">
        <v>3934</v>
      </c>
      <c r="E91" t="s">
        <v>171</v>
      </c>
      <c r="F91" t="s">
        <v>4352</v>
      </c>
      <c r="G91" s="1" t="s">
        <v>172</v>
      </c>
      <c r="H91" t="s">
        <v>4353</v>
      </c>
    </row>
    <row r="92" spans="1:8" ht="14" customHeight="1" x14ac:dyDescent="0.2">
      <c r="A92" t="s">
        <v>2012</v>
      </c>
      <c r="B92" t="s">
        <v>3259</v>
      </c>
      <c r="C92" t="s">
        <v>2910</v>
      </c>
      <c r="D92" t="s">
        <v>2910</v>
      </c>
      <c r="E92" t="s">
        <v>173</v>
      </c>
      <c r="F92" t="s">
        <v>4354</v>
      </c>
      <c r="G92" t="s">
        <v>174</v>
      </c>
      <c r="H92" t="s">
        <v>4355</v>
      </c>
    </row>
    <row r="93" spans="1:8" ht="14" customHeight="1" x14ac:dyDescent="0.2">
      <c r="A93" t="s">
        <v>2013</v>
      </c>
      <c r="B93" t="s">
        <v>3260</v>
      </c>
      <c r="C93" t="s">
        <v>2911</v>
      </c>
      <c r="D93" t="s">
        <v>3935</v>
      </c>
      <c r="E93" t="s">
        <v>175</v>
      </c>
      <c r="F93" t="s">
        <v>4356</v>
      </c>
      <c r="G93" t="s">
        <v>176</v>
      </c>
      <c r="H93" t="s">
        <v>4357</v>
      </c>
    </row>
    <row r="94" spans="1:8" ht="14" customHeight="1" x14ac:dyDescent="0.2">
      <c r="A94" t="s">
        <v>2014</v>
      </c>
      <c r="C94" t="s">
        <v>2912</v>
      </c>
      <c r="D94" t="s">
        <v>3936</v>
      </c>
      <c r="E94" t="s">
        <v>177</v>
      </c>
      <c r="F94" t="s">
        <v>4358</v>
      </c>
      <c r="G94" t="s">
        <v>178</v>
      </c>
      <c r="H94" t="s">
        <v>4359</v>
      </c>
    </row>
    <row r="95" spans="1:8" ht="14" customHeight="1" x14ac:dyDescent="0.2">
      <c r="A95" t="s">
        <v>2015</v>
      </c>
      <c r="B95" t="s">
        <v>2015</v>
      </c>
      <c r="C95" t="s">
        <v>2913</v>
      </c>
      <c r="D95" t="s">
        <v>3937</v>
      </c>
      <c r="E95" t="s">
        <v>179</v>
      </c>
      <c r="F95" t="s">
        <v>4360</v>
      </c>
      <c r="G95" t="s">
        <v>180</v>
      </c>
      <c r="H95" t="s">
        <v>4361</v>
      </c>
    </row>
    <row r="96" spans="1:8" ht="14" customHeight="1" x14ac:dyDescent="0.2">
      <c r="A96" t="s">
        <v>2016</v>
      </c>
      <c r="B96" t="s">
        <v>2016</v>
      </c>
      <c r="C96" s="1" t="s">
        <v>2914</v>
      </c>
      <c r="D96" t="s">
        <v>3938</v>
      </c>
      <c r="E96" s="1" t="s">
        <v>181</v>
      </c>
      <c r="F96" t="s">
        <v>4362</v>
      </c>
      <c r="G96" s="1" t="s">
        <v>182</v>
      </c>
      <c r="H96" t="s">
        <v>4363</v>
      </c>
    </row>
    <row r="97" spans="1:8" ht="14" customHeight="1" x14ac:dyDescent="0.2">
      <c r="A97" t="s">
        <v>2017</v>
      </c>
      <c r="B97" t="s">
        <v>2017</v>
      </c>
      <c r="C97" t="s">
        <v>2915</v>
      </c>
      <c r="D97" t="s">
        <v>3939</v>
      </c>
      <c r="E97" t="s">
        <v>183</v>
      </c>
      <c r="F97" t="s">
        <v>4364</v>
      </c>
      <c r="G97" t="s">
        <v>184</v>
      </c>
      <c r="H97" t="s">
        <v>4365</v>
      </c>
    </row>
    <row r="98" spans="1:8" ht="14" customHeight="1" x14ac:dyDescent="0.2">
      <c r="A98" t="s">
        <v>2018</v>
      </c>
      <c r="B98" t="s">
        <v>3261</v>
      </c>
      <c r="C98" t="s">
        <v>2916</v>
      </c>
      <c r="D98" t="s">
        <v>3940</v>
      </c>
      <c r="E98" s="1" t="s">
        <v>185</v>
      </c>
      <c r="F98" t="s">
        <v>4366</v>
      </c>
      <c r="G98" s="1" t="s">
        <v>5983</v>
      </c>
      <c r="H98" t="s">
        <v>4367</v>
      </c>
    </row>
    <row r="99" spans="1:8" ht="14" customHeight="1" x14ac:dyDescent="0.2">
      <c r="A99" t="s">
        <v>2019</v>
      </c>
      <c r="B99" t="s">
        <v>2631</v>
      </c>
      <c r="C99" t="s">
        <v>2917</v>
      </c>
      <c r="D99" t="s">
        <v>3941</v>
      </c>
      <c r="E99" s="1" t="s">
        <v>186</v>
      </c>
      <c r="F99" t="s">
        <v>4368</v>
      </c>
      <c r="G99" s="1" t="s">
        <v>5984</v>
      </c>
      <c r="H99" t="s">
        <v>4369</v>
      </c>
    </row>
    <row r="100" spans="1:8" ht="14" customHeight="1" x14ac:dyDescent="0.2">
      <c r="A100" t="s">
        <v>2020</v>
      </c>
      <c r="B100" t="s">
        <v>2020</v>
      </c>
      <c r="C100" t="s">
        <v>2918</v>
      </c>
      <c r="D100" t="s">
        <v>3942</v>
      </c>
      <c r="E100" t="s">
        <v>187</v>
      </c>
      <c r="F100" t="s">
        <v>4370</v>
      </c>
      <c r="G100" t="s">
        <v>188</v>
      </c>
      <c r="H100" t="s">
        <v>4371</v>
      </c>
    </row>
    <row r="101" spans="1:8" ht="14" customHeight="1" x14ac:dyDescent="0.2">
      <c r="A101" t="s">
        <v>2021</v>
      </c>
      <c r="B101" t="s">
        <v>2021</v>
      </c>
      <c r="C101" t="s">
        <v>2919</v>
      </c>
      <c r="D101" t="s">
        <v>3943</v>
      </c>
      <c r="E101" s="1" t="s">
        <v>189</v>
      </c>
      <c r="F101" t="s">
        <v>4372</v>
      </c>
      <c r="G101" s="1" t="s">
        <v>190</v>
      </c>
      <c r="H101" t="s">
        <v>4373</v>
      </c>
    </row>
    <row r="102" spans="1:8" ht="14" customHeight="1" x14ac:dyDescent="0.2">
      <c r="A102" t="s">
        <v>2022</v>
      </c>
      <c r="B102" t="s">
        <v>2022</v>
      </c>
      <c r="C102" t="s">
        <v>2920</v>
      </c>
      <c r="D102" t="s">
        <v>2920</v>
      </c>
      <c r="E102" t="s">
        <v>191</v>
      </c>
      <c r="F102" t="s">
        <v>191</v>
      </c>
      <c r="G102" t="s">
        <v>192</v>
      </c>
      <c r="H102" t="s">
        <v>4374</v>
      </c>
    </row>
    <row r="103" spans="1:8" ht="14" customHeight="1" x14ac:dyDescent="0.2">
      <c r="A103" t="s">
        <v>2023</v>
      </c>
      <c r="B103" t="s">
        <v>3262</v>
      </c>
      <c r="C103" t="s">
        <v>2921</v>
      </c>
      <c r="D103" t="s">
        <v>3944</v>
      </c>
      <c r="E103" t="s">
        <v>193</v>
      </c>
      <c r="F103" t="s">
        <v>4375</v>
      </c>
      <c r="G103" t="s">
        <v>194</v>
      </c>
      <c r="H103" t="s">
        <v>4376</v>
      </c>
    </row>
    <row r="104" spans="1:8" ht="14" customHeight="1" x14ac:dyDescent="0.2">
      <c r="A104" t="s">
        <v>2024</v>
      </c>
      <c r="C104" t="s">
        <v>2922</v>
      </c>
      <c r="D104" t="s">
        <v>2922</v>
      </c>
      <c r="E104" t="s">
        <v>195</v>
      </c>
      <c r="F104" t="s">
        <v>4377</v>
      </c>
      <c r="G104" t="s">
        <v>196</v>
      </c>
      <c r="H104" t="s">
        <v>4378</v>
      </c>
    </row>
    <row r="105" spans="1:8" ht="14" customHeight="1" x14ac:dyDescent="0.2">
      <c r="A105" t="s">
        <v>2025</v>
      </c>
      <c r="B105" t="s">
        <v>2025</v>
      </c>
      <c r="C105" t="s">
        <v>2923</v>
      </c>
      <c r="D105" t="s">
        <v>3945</v>
      </c>
      <c r="E105" t="s">
        <v>197</v>
      </c>
      <c r="F105" t="s">
        <v>4379</v>
      </c>
      <c r="G105" t="s">
        <v>198</v>
      </c>
      <c r="H105" t="s">
        <v>4380</v>
      </c>
    </row>
    <row r="106" spans="1:8" ht="14" customHeight="1" x14ac:dyDescent="0.2">
      <c r="A106" t="s">
        <v>2026</v>
      </c>
      <c r="B106" t="s">
        <v>3263</v>
      </c>
      <c r="E106" s="1" t="s">
        <v>199</v>
      </c>
      <c r="F106" t="s">
        <v>4381</v>
      </c>
      <c r="G106" s="1" t="s">
        <v>200</v>
      </c>
      <c r="H106" t="s">
        <v>4382</v>
      </c>
    </row>
    <row r="107" spans="1:8" ht="14" customHeight="1" x14ac:dyDescent="0.2">
      <c r="A107" t="s">
        <v>2027</v>
      </c>
      <c r="B107" t="s">
        <v>3264</v>
      </c>
      <c r="E107" t="s">
        <v>201</v>
      </c>
      <c r="G107" t="s">
        <v>202</v>
      </c>
      <c r="H107" t="s">
        <v>4383</v>
      </c>
    </row>
    <row r="108" spans="1:8" ht="14" customHeight="1" x14ac:dyDescent="0.2">
      <c r="A108" t="s">
        <v>2028</v>
      </c>
      <c r="B108" t="s">
        <v>3265</v>
      </c>
      <c r="E108" t="s">
        <v>203</v>
      </c>
      <c r="F108" t="s">
        <v>4384</v>
      </c>
      <c r="G108" s="1" t="s">
        <v>204</v>
      </c>
      <c r="H108" t="s">
        <v>4385</v>
      </c>
    </row>
    <row r="109" spans="1:8" ht="14" customHeight="1" x14ac:dyDescent="0.2">
      <c r="A109" t="s">
        <v>2029</v>
      </c>
      <c r="B109" t="s">
        <v>3266</v>
      </c>
      <c r="E109" s="1" t="s">
        <v>205</v>
      </c>
      <c r="F109" t="s">
        <v>4386</v>
      </c>
      <c r="G109" s="1" t="s">
        <v>206</v>
      </c>
      <c r="H109" t="s">
        <v>4387</v>
      </c>
    </row>
    <row r="110" spans="1:8" ht="14" customHeight="1" x14ac:dyDescent="0.2">
      <c r="A110" t="s">
        <v>2030</v>
      </c>
      <c r="B110" t="s">
        <v>2030</v>
      </c>
      <c r="E110" t="s">
        <v>207</v>
      </c>
      <c r="F110" t="s">
        <v>4388</v>
      </c>
      <c r="G110" s="1" t="s">
        <v>208</v>
      </c>
      <c r="H110" t="s">
        <v>4389</v>
      </c>
    </row>
    <row r="111" spans="1:8" ht="14" customHeight="1" x14ac:dyDescent="0.2">
      <c r="A111" t="s">
        <v>2031</v>
      </c>
      <c r="B111" t="s">
        <v>3267</v>
      </c>
      <c r="E111" s="1" t="s">
        <v>209</v>
      </c>
      <c r="F111" t="s">
        <v>4390</v>
      </c>
      <c r="G111" s="1" t="s">
        <v>210</v>
      </c>
      <c r="H111" t="s">
        <v>4391</v>
      </c>
    </row>
    <row r="112" spans="1:8" ht="14" customHeight="1" x14ac:dyDescent="0.2">
      <c r="A112" t="s">
        <v>2032</v>
      </c>
      <c r="B112" t="s">
        <v>3268</v>
      </c>
      <c r="C112" s="1" t="s">
        <v>2924</v>
      </c>
      <c r="D112" t="s">
        <v>3946</v>
      </c>
      <c r="E112" s="1" t="s">
        <v>211</v>
      </c>
      <c r="F112" t="s">
        <v>4392</v>
      </c>
      <c r="G112" s="1" t="s">
        <v>212</v>
      </c>
      <c r="H112" t="s">
        <v>4393</v>
      </c>
    </row>
    <row r="113" spans="1:8" ht="14" customHeight="1" x14ac:dyDescent="0.2">
      <c r="A113" t="s">
        <v>2033</v>
      </c>
      <c r="B113" t="s">
        <v>3269</v>
      </c>
      <c r="C113" t="s">
        <v>2925</v>
      </c>
      <c r="D113" t="s">
        <v>3947</v>
      </c>
      <c r="E113" t="s">
        <v>213</v>
      </c>
      <c r="F113" t="s">
        <v>4394</v>
      </c>
      <c r="G113" t="s">
        <v>214</v>
      </c>
      <c r="H113" t="s">
        <v>4395</v>
      </c>
    </row>
    <row r="114" spans="1:8" ht="14" customHeight="1" x14ac:dyDescent="0.2">
      <c r="A114" t="s">
        <v>2034</v>
      </c>
      <c r="B114" t="s">
        <v>3270</v>
      </c>
      <c r="C114" t="s">
        <v>2926</v>
      </c>
      <c r="D114" t="s">
        <v>3948</v>
      </c>
      <c r="E114" t="s">
        <v>215</v>
      </c>
      <c r="G114" t="s">
        <v>216</v>
      </c>
      <c r="H114" t="s">
        <v>4396</v>
      </c>
    </row>
    <row r="115" spans="1:8" ht="14" customHeight="1" x14ac:dyDescent="0.2">
      <c r="A115" t="s">
        <v>2035</v>
      </c>
      <c r="B115" t="s">
        <v>3271</v>
      </c>
      <c r="E115" s="1" t="s">
        <v>217</v>
      </c>
      <c r="F115" t="s">
        <v>4397</v>
      </c>
      <c r="G115" s="1" t="s">
        <v>218</v>
      </c>
      <c r="H115" t="s">
        <v>4398</v>
      </c>
    </row>
    <row r="116" spans="1:8" ht="14" customHeight="1" x14ac:dyDescent="0.2">
      <c r="A116" t="s">
        <v>2036</v>
      </c>
      <c r="B116" t="s">
        <v>2036</v>
      </c>
      <c r="C116" t="s">
        <v>2927</v>
      </c>
      <c r="D116" t="s">
        <v>3949</v>
      </c>
      <c r="E116" t="s">
        <v>219</v>
      </c>
      <c r="F116" t="s">
        <v>4399</v>
      </c>
      <c r="G116" t="s">
        <v>220</v>
      </c>
      <c r="H116" t="s">
        <v>4400</v>
      </c>
    </row>
    <row r="117" spans="1:8" ht="14" customHeight="1" x14ac:dyDescent="0.2">
      <c r="A117" t="s">
        <v>1962</v>
      </c>
      <c r="B117" t="s">
        <v>3272</v>
      </c>
      <c r="C117" t="s">
        <v>2928</v>
      </c>
      <c r="D117" t="s">
        <v>3950</v>
      </c>
      <c r="E117" t="s">
        <v>221</v>
      </c>
      <c r="F117" t="s">
        <v>4401</v>
      </c>
      <c r="G117" t="s">
        <v>222</v>
      </c>
      <c r="H117" t="s">
        <v>4402</v>
      </c>
    </row>
    <row r="118" spans="1:8" ht="14" customHeight="1" x14ac:dyDescent="0.2">
      <c r="A118" t="s">
        <v>2037</v>
      </c>
      <c r="B118" t="s">
        <v>3273</v>
      </c>
      <c r="C118" t="s">
        <v>2929</v>
      </c>
      <c r="D118" t="s">
        <v>3951</v>
      </c>
      <c r="E118" t="s">
        <v>223</v>
      </c>
      <c r="F118" t="s">
        <v>4403</v>
      </c>
      <c r="G118" t="s">
        <v>224</v>
      </c>
      <c r="H118" t="s">
        <v>4404</v>
      </c>
    </row>
    <row r="119" spans="1:8" ht="14" customHeight="1" x14ac:dyDescent="0.2">
      <c r="A119" t="s">
        <v>1962</v>
      </c>
      <c r="B119" t="s">
        <v>3272</v>
      </c>
      <c r="C119" t="s">
        <v>2374</v>
      </c>
      <c r="E119" t="s">
        <v>225</v>
      </c>
      <c r="F119" t="s">
        <v>4405</v>
      </c>
      <c r="G119" t="s">
        <v>226</v>
      </c>
      <c r="H119" t="s">
        <v>4406</v>
      </c>
    </row>
    <row r="120" spans="1:8" ht="14" customHeight="1" x14ac:dyDescent="0.2">
      <c r="A120" t="s">
        <v>2038</v>
      </c>
      <c r="B120" t="s">
        <v>2038</v>
      </c>
      <c r="C120" t="s">
        <v>2930</v>
      </c>
      <c r="D120" t="s">
        <v>3952</v>
      </c>
      <c r="E120" t="s">
        <v>227</v>
      </c>
      <c r="F120" t="s">
        <v>4407</v>
      </c>
      <c r="G120" t="s">
        <v>228</v>
      </c>
      <c r="H120" t="s">
        <v>4408</v>
      </c>
    </row>
    <row r="121" spans="1:8" ht="14" customHeight="1" x14ac:dyDescent="0.2">
      <c r="A121" t="s">
        <v>2039</v>
      </c>
      <c r="B121" t="s">
        <v>2039</v>
      </c>
      <c r="C121" t="s">
        <v>2931</v>
      </c>
      <c r="D121" t="s">
        <v>3953</v>
      </c>
      <c r="E121" t="s">
        <v>229</v>
      </c>
      <c r="F121" t="s">
        <v>4409</v>
      </c>
      <c r="G121" t="s">
        <v>230</v>
      </c>
      <c r="H121" t="s">
        <v>4410</v>
      </c>
    </row>
    <row r="122" spans="1:8" ht="14" customHeight="1" x14ac:dyDescent="0.2">
      <c r="A122" t="s">
        <v>2040</v>
      </c>
      <c r="B122" t="s">
        <v>3274</v>
      </c>
      <c r="E122" t="s">
        <v>231</v>
      </c>
      <c r="F122" t="s">
        <v>4411</v>
      </c>
      <c r="G122" s="1" t="s">
        <v>232</v>
      </c>
      <c r="H122" t="s">
        <v>4412</v>
      </c>
    </row>
    <row r="123" spans="1:8" ht="14" customHeight="1" x14ac:dyDescent="0.2">
      <c r="A123" t="s">
        <v>2041</v>
      </c>
      <c r="B123" t="s">
        <v>3275</v>
      </c>
      <c r="E123" t="s">
        <v>233</v>
      </c>
      <c r="F123" t="s">
        <v>4413</v>
      </c>
      <c r="G123" t="s">
        <v>234</v>
      </c>
      <c r="H123" t="s">
        <v>4414</v>
      </c>
    </row>
    <row r="124" spans="1:8" ht="14" customHeight="1" x14ac:dyDescent="0.2">
      <c r="A124" t="s">
        <v>2042</v>
      </c>
      <c r="B124" t="s">
        <v>3276</v>
      </c>
      <c r="E124" t="s">
        <v>235</v>
      </c>
      <c r="F124" t="s">
        <v>235</v>
      </c>
      <c r="G124" t="s">
        <v>236</v>
      </c>
      <c r="H124" t="s">
        <v>236</v>
      </c>
    </row>
    <row r="125" spans="1:8" ht="14" customHeight="1" x14ac:dyDescent="0.2">
      <c r="A125" t="s">
        <v>2043</v>
      </c>
      <c r="B125" t="s">
        <v>3277</v>
      </c>
      <c r="E125" t="s">
        <v>237</v>
      </c>
      <c r="F125" t="s">
        <v>4415</v>
      </c>
      <c r="G125" t="s">
        <v>238</v>
      </c>
      <c r="H125" t="s">
        <v>4416</v>
      </c>
    </row>
    <row r="126" spans="1:8" ht="14" customHeight="1" x14ac:dyDescent="0.2">
      <c r="A126" t="s">
        <v>2044</v>
      </c>
      <c r="B126" t="s">
        <v>3278</v>
      </c>
      <c r="E126" t="s">
        <v>239</v>
      </c>
      <c r="F126" t="s">
        <v>4417</v>
      </c>
      <c r="G126" t="s">
        <v>240</v>
      </c>
      <c r="H126" t="s">
        <v>4418</v>
      </c>
    </row>
    <row r="127" spans="1:8" ht="14" customHeight="1" x14ac:dyDescent="0.2">
      <c r="A127" t="s">
        <v>2045</v>
      </c>
      <c r="B127" t="s">
        <v>3279</v>
      </c>
      <c r="E127" t="e">
        <f>- flexibility
- remote
- not much else</f>
        <v>#NAME?</v>
      </c>
      <c r="F127" t="s">
        <v>4419</v>
      </c>
      <c r="G127" s="1" t="s">
        <v>241</v>
      </c>
      <c r="H127" t="s">
        <v>4420</v>
      </c>
    </row>
    <row r="128" spans="1:8" ht="14" customHeight="1" x14ac:dyDescent="0.2">
      <c r="A128" t="s">
        <v>2046</v>
      </c>
      <c r="B128" t="s">
        <v>2046</v>
      </c>
      <c r="C128" t="s">
        <v>2932</v>
      </c>
      <c r="D128" t="s">
        <v>3954</v>
      </c>
      <c r="E128" s="1" t="s">
        <v>242</v>
      </c>
      <c r="F128" t="s">
        <v>4421</v>
      </c>
      <c r="G128" s="1" t="s">
        <v>243</v>
      </c>
      <c r="H128" t="s">
        <v>4422</v>
      </c>
    </row>
    <row r="129" spans="1:8" ht="14" customHeight="1" x14ac:dyDescent="0.2">
      <c r="A129" t="s">
        <v>2047</v>
      </c>
      <c r="B129" t="s">
        <v>2047</v>
      </c>
      <c r="C129" t="s">
        <v>2933</v>
      </c>
      <c r="D129" t="s">
        <v>3955</v>
      </c>
      <c r="E129" t="s">
        <v>244</v>
      </c>
      <c r="F129" t="s">
        <v>4423</v>
      </c>
      <c r="G129" t="s">
        <v>245</v>
      </c>
      <c r="H129" t="s">
        <v>4424</v>
      </c>
    </row>
    <row r="130" spans="1:8" ht="14" customHeight="1" x14ac:dyDescent="0.2">
      <c r="A130" t="s">
        <v>2048</v>
      </c>
      <c r="B130" t="s">
        <v>2048</v>
      </c>
      <c r="C130" t="s">
        <v>2934</v>
      </c>
      <c r="D130" t="s">
        <v>3956</v>
      </c>
      <c r="E130" t="s">
        <v>246</v>
      </c>
      <c r="F130" t="s">
        <v>4425</v>
      </c>
      <c r="G130" t="s">
        <v>247</v>
      </c>
      <c r="H130" t="s">
        <v>4426</v>
      </c>
    </row>
    <row r="131" spans="1:8" ht="14" customHeight="1" x14ac:dyDescent="0.2">
      <c r="A131" t="s">
        <v>2049</v>
      </c>
      <c r="B131" t="s">
        <v>3280</v>
      </c>
      <c r="E131" t="s">
        <v>248</v>
      </c>
      <c r="F131" t="s">
        <v>4427</v>
      </c>
      <c r="G131" t="s">
        <v>249</v>
      </c>
      <c r="H131" t="s">
        <v>4428</v>
      </c>
    </row>
    <row r="132" spans="1:8" ht="14" customHeight="1" x14ac:dyDescent="0.2">
      <c r="A132" t="s">
        <v>2050</v>
      </c>
      <c r="B132" t="s">
        <v>3281</v>
      </c>
      <c r="E132" t="s">
        <v>250</v>
      </c>
      <c r="G132" t="s">
        <v>251</v>
      </c>
      <c r="H132" t="s">
        <v>4429</v>
      </c>
    </row>
    <row r="133" spans="1:8" ht="14" customHeight="1" x14ac:dyDescent="0.2">
      <c r="A133" t="s">
        <v>2051</v>
      </c>
      <c r="B133" t="s">
        <v>3282</v>
      </c>
      <c r="E133" t="s">
        <v>252</v>
      </c>
      <c r="F133" t="s">
        <v>4430</v>
      </c>
      <c r="G133" s="1" t="s">
        <v>253</v>
      </c>
      <c r="H133" t="s">
        <v>4431</v>
      </c>
    </row>
    <row r="134" spans="1:8" ht="14" customHeight="1" x14ac:dyDescent="0.2">
      <c r="A134" t="s">
        <v>2052</v>
      </c>
      <c r="B134" t="s">
        <v>3283</v>
      </c>
      <c r="E134" t="e">
        <f>-Easy to move up with just a small amount of effort -Friendly teams -flexibility For different roles</f>
        <v>#NAME?</v>
      </c>
      <c r="F134" t="s">
        <v>4432</v>
      </c>
      <c r="G134" t="e">
        <f>-Long hours -Understaffed. Most of the time we were working with skeleton crews -Constant demands and unorganized direction from upper management.</f>
        <v>#NAME?</v>
      </c>
      <c r="H134" t="s">
        <v>4433</v>
      </c>
    </row>
    <row r="135" spans="1:8" ht="14" customHeight="1" x14ac:dyDescent="0.2">
      <c r="A135" t="s">
        <v>2053</v>
      </c>
      <c r="B135" t="s">
        <v>3284</v>
      </c>
      <c r="E135" t="s">
        <v>254</v>
      </c>
      <c r="F135" t="s">
        <v>4434</v>
      </c>
      <c r="G135" t="s">
        <v>255</v>
      </c>
      <c r="H135" t="s">
        <v>4435</v>
      </c>
    </row>
    <row r="136" spans="1:8" ht="14" customHeight="1" x14ac:dyDescent="0.2">
      <c r="A136" t="s">
        <v>1947</v>
      </c>
      <c r="B136" t="s">
        <v>1947</v>
      </c>
      <c r="C136" t="s">
        <v>2935</v>
      </c>
      <c r="D136" t="s">
        <v>3957</v>
      </c>
      <c r="E136" t="s">
        <v>256</v>
      </c>
      <c r="F136" t="s">
        <v>4436</v>
      </c>
      <c r="G136" t="s">
        <v>257</v>
      </c>
      <c r="H136" t="s">
        <v>257</v>
      </c>
    </row>
    <row r="137" spans="1:8" ht="14" customHeight="1" x14ac:dyDescent="0.2">
      <c r="A137" t="s">
        <v>1947</v>
      </c>
      <c r="B137" t="s">
        <v>1947</v>
      </c>
      <c r="C137" t="s">
        <v>2936</v>
      </c>
      <c r="D137" t="s">
        <v>3958</v>
      </c>
      <c r="E137" t="s">
        <v>258</v>
      </c>
      <c r="F137" t="s">
        <v>4437</v>
      </c>
      <c r="G137" t="s">
        <v>259</v>
      </c>
      <c r="H137" t="s">
        <v>4438</v>
      </c>
    </row>
    <row r="138" spans="1:8" ht="14" customHeight="1" x14ac:dyDescent="0.2">
      <c r="A138" t="s">
        <v>2054</v>
      </c>
      <c r="B138" t="s">
        <v>3285</v>
      </c>
      <c r="E138" s="1" t="s">
        <v>260</v>
      </c>
      <c r="F138" t="s">
        <v>4439</v>
      </c>
      <c r="G138" s="1" t="s">
        <v>261</v>
      </c>
      <c r="H138" t="s">
        <v>4440</v>
      </c>
    </row>
    <row r="139" spans="1:8" ht="14" customHeight="1" x14ac:dyDescent="0.2">
      <c r="A139" t="s">
        <v>2055</v>
      </c>
      <c r="B139" t="s">
        <v>2055</v>
      </c>
      <c r="C139" t="s">
        <v>2937</v>
      </c>
      <c r="D139" t="s">
        <v>3959</v>
      </c>
      <c r="E139" t="s">
        <v>262</v>
      </c>
      <c r="F139" t="s">
        <v>4441</v>
      </c>
      <c r="G139" t="s">
        <v>263</v>
      </c>
    </row>
    <row r="140" spans="1:8" ht="14" customHeight="1" x14ac:dyDescent="0.2">
      <c r="A140" t="s">
        <v>2056</v>
      </c>
      <c r="B140" t="s">
        <v>2056</v>
      </c>
      <c r="C140" t="s">
        <v>2938</v>
      </c>
      <c r="D140" t="s">
        <v>3960</v>
      </c>
      <c r="E140" s="1" t="s">
        <v>264</v>
      </c>
      <c r="F140" t="s">
        <v>4442</v>
      </c>
      <c r="G140" s="1" t="s">
        <v>265</v>
      </c>
      <c r="H140" t="s">
        <v>4443</v>
      </c>
    </row>
    <row r="141" spans="1:8" ht="14" customHeight="1" x14ac:dyDescent="0.2">
      <c r="A141" t="s">
        <v>2057</v>
      </c>
      <c r="B141" t="s">
        <v>3286</v>
      </c>
      <c r="C141" t="s">
        <v>2939</v>
      </c>
      <c r="D141" t="s">
        <v>3961</v>
      </c>
      <c r="E141" t="s">
        <v>266</v>
      </c>
      <c r="F141" t="s">
        <v>4444</v>
      </c>
      <c r="G141" s="1" t="s">
        <v>267</v>
      </c>
      <c r="H141" t="s">
        <v>4445</v>
      </c>
    </row>
    <row r="142" spans="1:8" ht="14" customHeight="1" x14ac:dyDescent="0.2">
      <c r="A142" t="s">
        <v>2058</v>
      </c>
      <c r="B142" t="s">
        <v>3287</v>
      </c>
      <c r="C142" t="s">
        <v>2940</v>
      </c>
      <c r="D142" t="s">
        <v>3962</v>
      </c>
      <c r="E142" t="s">
        <v>268</v>
      </c>
      <c r="F142" t="s">
        <v>4446</v>
      </c>
      <c r="G142" t="s">
        <v>269</v>
      </c>
      <c r="H142" t="s">
        <v>4447</v>
      </c>
    </row>
    <row r="143" spans="1:8" ht="14" customHeight="1" x14ac:dyDescent="0.2">
      <c r="A143" t="s">
        <v>2059</v>
      </c>
      <c r="B143" t="s">
        <v>3288</v>
      </c>
      <c r="C143" t="s">
        <v>2941</v>
      </c>
      <c r="D143" t="s">
        <v>3963</v>
      </c>
      <c r="E143" t="s">
        <v>270</v>
      </c>
      <c r="F143" t="s">
        <v>4448</v>
      </c>
      <c r="G143" t="s">
        <v>271</v>
      </c>
      <c r="H143" t="s">
        <v>4449</v>
      </c>
    </row>
    <row r="144" spans="1:8" ht="14" customHeight="1" x14ac:dyDescent="0.2">
      <c r="A144" t="s">
        <v>2060</v>
      </c>
      <c r="B144" t="s">
        <v>3289</v>
      </c>
      <c r="C144" t="s">
        <v>2942</v>
      </c>
      <c r="D144" t="s">
        <v>3964</v>
      </c>
      <c r="E144" s="1" t="s">
        <v>272</v>
      </c>
      <c r="F144" t="s">
        <v>4450</v>
      </c>
      <c r="G144" s="1" t="s">
        <v>273</v>
      </c>
      <c r="H144" t="s">
        <v>4451</v>
      </c>
    </row>
    <row r="145" spans="1:8" ht="14" customHeight="1" x14ac:dyDescent="0.2">
      <c r="A145" t="s">
        <v>2061</v>
      </c>
      <c r="C145" t="s">
        <v>2943</v>
      </c>
      <c r="D145" t="s">
        <v>3965</v>
      </c>
      <c r="E145" t="s">
        <v>274</v>
      </c>
      <c r="F145" t="s">
        <v>4452</v>
      </c>
      <c r="G145" t="s">
        <v>5985</v>
      </c>
      <c r="H145" t="s">
        <v>4453</v>
      </c>
    </row>
    <row r="146" spans="1:8" ht="14" customHeight="1" x14ac:dyDescent="0.2">
      <c r="A146" t="s">
        <v>2049</v>
      </c>
      <c r="B146" t="s">
        <v>3280</v>
      </c>
      <c r="C146" t="s">
        <v>2944</v>
      </c>
      <c r="D146" t="s">
        <v>3966</v>
      </c>
      <c r="E146" t="s">
        <v>275</v>
      </c>
      <c r="G146" t="s">
        <v>276</v>
      </c>
      <c r="H146" t="s">
        <v>4454</v>
      </c>
    </row>
    <row r="147" spans="1:8" ht="14" customHeight="1" x14ac:dyDescent="0.2">
      <c r="A147" t="s">
        <v>2062</v>
      </c>
      <c r="B147" t="s">
        <v>3290</v>
      </c>
      <c r="E147" t="s">
        <v>277</v>
      </c>
      <c r="F147" t="s">
        <v>4455</v>
      </c>
      <c r="G147" t="s">
        <v>278</v>
      </c>
      <c r="H147" t="s">
        <v>4456</v>
      </c>
    </row>
    <row r="148" spans="1:8" ht="14" customHeight="1" x14ac:dyDescent="0.2">
      <c r="A148" t="s">
        <v>2063</v>
      </c>
      <c r="B148" t="s">
        <v>3291</v>
      </c>
      <c r="E148" t="s">
        <v>279</v>
      </c>
      <c r="F148" t="s">
        <v>4457</v>
      </c>
      <c r="G148" t="s">
        <v>280</v>
      </c>
      <c r="H148" t="s">
        <v>4458</v>
      </c>
    </row>
    <row r="149" spans="1:8" ht="14" customHeight="1" x14ac:dyDescent="0.2">
      <c r="A149" t="s">
        <v>2064</v>
      </c>
      <c r="B149" t="s">
        <v>2064</v>
      </c>
      <c r="E149" t="s">
        <v>281</v>
      </c>
      <c r="F149" t="s">
        <v>4459</v>
      </c>
      <c r="G149" t="s">
        <v>282</v>
      </c>
      <c r="H149" t="s">
        <v>4359</v>
      </c>
    </row>
    <row r="150" spans="1:8" ht="14" customHeight="1" x14ac:dyDescent="0.2">
      <c r="A150" t="s">
        <v>2065</v>
      </c>
      <c r="C150" t="s">
        <v>2945</v>
      </c>
      <c r="D150" t="s">
        <v>3967</v>
      </c>
      <c r="E150" s="1" t="s">
        <v>283</v>
      </c>
      <c r="F150" t="s">
        <v>4460</v>
      </c>
      <c r="G150" s="1" t="s">
        <v>284</v>
      </c>
      <c r="H150" t="s">
        <v>4461</v>
      </c>
    </row>
    <row r="151" spans="1:8" ht="14" customHeight="1" x14ac:dyDescent="0.2">
      <c r="A151" t="s">
        <v>2066</v>
      </c>
      <c r="B151" t="s">
        <v>3292</v>
      </c>
      <c r="E151" t="s">
        <v>285</v>
      </c>
      <c r="F151" t="s">
        <v>285</v>
      </c>
      <c r="G151" s="1" t="s">
        <v>286</v>
      </c>
      <c r="H151" t="s">
        <v>4462</v>
      </c>
    </row>
    <row r="152" spans="1:8" ht="14" customHeight="1" x14ac:dyDescent="0.2">
      <c r="A152" t="s">
        <v>2067</v>
      </c>
      <c r="B152" t="s">
        <v>3293</v>
      </c>
      <c r="E152" t="s">
        <v>287</v>
      </c>
      <c r="F152" t="s">
        <v>4463</v>
      </c>
      <c r="G152" t="s">
        <v>288</v>
      </c>
      <c r="H152" t="s">
        <v>4464</v>
      </c>
    </row>
    <row r="153" spans="1:8" ht="14" customHeight="1" x14ac:dyDescent="0.2">
      <c r="A153" t="s">
        <v>1972</v>
      </c>
      <c r="B153" t="s">
        <v>1972</v>
      </c>
      <c r="E153" t="s">
        <v>289</v>
      </c>
      <c r="F153" t="s">
        <v>289</v>
      </c>
      <c r="G153" t="s">
        <v>290</v>
      </c>
      <c r="H153" t="s">
        <v>4465</v>
      </c>
    </row>
    <row r="154" spans="1:8" ht="14" customHeight="1" x14ac:dyDescent="0.2">
      <c r="A154" t="s">
        <v>2068</v>
      </c>
      <c r="B154" t="s">
        <v>3294</v>
      </c>
      <c r="C154" t="s">
        <v>2946</v>
      </c>
      <c r="D154" t="s">
        <v>3968</v>
      </c>
      <c r="E154" s="1" t="s">
        <v>291</v>
      </c>
      <c r="F154" t="s">
        <v>4466</v>
      </c>
      <c r="G154" s="1" t="s">
        <v>292</v>
      </c>
      <c r="H154" t="s">
        <v>4467</v>
      </c>
    </row>
    <row r="155" spans="1:8" ht="14" customHeight="1" x14ac:dyDescent="0.2">
      <c r="A155" t="s">
        <v>2069</v>
      </c>
      <c r="B155" t="s">
        <v>2069</v>
      </c>
      <c r="C155" t="s">
        <v>2947</v>
      </c>
      <c r="D155" t="s">
        <v>3969</v>
      </c>
      <c r="E155" t="s">
        <v>293</v>
      </c>
      <c r="F155" t="s">
        <v>4468</v>
      </c>
      <c r="G155" s="1" t="s">
        <v>294</v>
      </c>
      <c r="H155" t="s">
        <v>4469</v>
      </c>
    </row>
    <row r="156" spans="1:8" ht="14" customHeight="1" x14ac:dyDescent="0.2">
      <c r="A156" t="s">
        <v>2070</v>
      </c>
      <c r="B156" t="s">
        <v>2070</v>
      </c>
      <c r="E156" t="s">
        <v>295</v>
      </c>
      <c r="F156" t="s">
        <v>4470</v>
      </c>
      <c r="G156" t="s">
        <v>296</v>
      </c>
    </row>
    <row r="157" spans="1:8" ht="14" customHeight="1" x14ac:dyDescent="0.2">
      <c r="A157" t="s">
        <v>2071</v>
      </c>
      <c r="B157" t="s">
        <v>2071</v>
      </c>
      <c r="E157" t="s">
        <v>297</v>
      </c>
      <c r="F157" t="s">
        <v>4471</v>
      </c>
      <c r="G157" s="1" t="s">
        <v>298</v>
      </c>
      <c r="H157" t="s">
        <v>4472</v>
      </c>
    </row>
    <row r="158" spans="1:8" ht="14" customHeight="1" x14ac:dyDescent="0.2">
      <c r="A158" t="s">
        <v>2072</v>
      </c>
      <c r="B158" t="s">
        <v>3295</v>
      </c>
      <c r="E158" t="s">
        <v>299</v>
      </c>
      <c r="F158" t="s">
        <v>4473</v>
      </c>
      <c r="G158" s="1" t="s">
        <v>300</v>
      </c>
      <c r="H158" t="s">
        <v>4474</v>
      </c>
    </row>
    <row r="159" spans="1:8" ht="14" customHeight="1" x14ac:dyDescent="0.2">
      <c r="A159" t="s">
        <v>2073</v>
      </c>
      <c r="B159" t="s">
        <v>2073</v>
      </c>
      <c r="E159" t="s">
        <v>301</v>
      </c>
      <c r="F159" t="s">
        <v>4475</v>
      </c>
      <c r="G159" t="s">
        <v>302</v>
      </c>
      <c r="H159" t="s">
        <v>4476</v>
      </c>
    </row>
    <row r="160" spans="1:8" ht="14" customHeight="1" x14ac:dyDescent="0.2">
      <c r="A160" t="s">
        <v>2074</v>
      </c>
      <c r="B160" t="s">
        <v>2074</v>
      </c>
      <c r="E160" t="s">
        <v>303</v>
      </c>
      <c r="F160" t="s">
        <v>4477</v>
      </c>
      <c r="G160" t="s">
        <v>304</v>
      </c>
      <c r="H160" t="s">
        <v>4478</v>
      </c>
    </row>
    <row r="161" spans="1:8" ht="14" customHeight="1" x14ac:dyDescent="0.2">
      <c r="A161" t="s">
        <v>2075</v>
      </c>
      <c r="B161" t="s">
        <v>1994</v>
      </c>
      <c r="E161" t="s">
        <v>305</v>
      </c>
      <c r="F161" t="s">
        <v>305</v>
      </c>
      <c r="G161" t="s">
        <v>306</v>
      </c>
      <c r="H161" t="s">
        <v>4479</v>
      </c>
    </row>
    <row r="162" spans="1:8" ht="14" customHeight="1" x14ac:dyDescent="0.2">
      <c r="A162" t="s">
        <v>2076</v>
      </c>
      <c r="B162" t="s">
        <v>2076</v>
      </c>
      <c r="E162" t="e">
        <f>-the product is great, especially on the pharma end. it can make a real difference in the drug development process For a biotech.
-Commission plan is pretty decent.</f>
        <v>#NAME?</v>
      </c>
      <c r="F162" t="s">
        <v>4480</v>
      </c>
      <c r="G162" s="1" t="s">
        <v>307</v>
      </c>
      <c r="H162" t="s">
        <v>4481</v>
      </c>
    </row>
    <row r="163" spans="1:8" ht="14" customHeight="1" x14ac:dyDescent="0.2">
      <c r="A163" t="s">
        <v>2077</v>
      </c>
      <c r="B163" t="s">
        <v>2077</v>
      </c>
      <c r="E163" s="1" t="s">
        <v>308</v>
      </c>
      <c r="F163" t="s">
        <v>4482</v>
      </c>
      <c r="G163" s="1" t="s">
        <v>309</v>
      </c>
      <c r="H163" t="s">
        <v>4483</v>
      </c>
    </row>
    <row r="164" spans="1:8" ht="14" customHeight="1" x14ac:dyDescent="0.2">
      <c r="A164" t="s">
        <v>2078</v>
      </c>
      <c r="B164" t="s">
        <v>2078</v>
      </c>
      <c r="E164" t="s">
        <v>310</v>
      </c>
      <c r="F164" t="s">
        <v>310</v>
      </c>
      <c r="G164" t="s">
        <v>311</v>
      </c>
      <c r="H164" t="s">
        <v>4484</v>
      </c>
    </row>
    <row r="165" spans="1:8" ht="14" customHeight="1" x14ac:dyDescent="0.2">
      <c r="A165" t="s">
        <v>2079</v>
      </c>
      <c r="B165" t="s">
        <v>3296</v>
      </c>
      <c r="E165" t="s">
        <v>312</v>
      </c>
      <c r="F165" t="s">
        <v>4485</v>
      </c>
      <c r="G165" t="s">
        <v>313</v>
      </c>
      <c r="H165" t="s">
        <v>4486</v>
      </c>
    </row>
    <row r="166" spans="1:8" ht="14" customHeight="1" x14ac:dyDescent="0.2">
      <c r="A166" t="s">
        <v>2080</v>
      </c>
      <c r="B166" t="s">
        <v>2080</v>
      </c>
      <c r="E166" s="1" t="s">
        <v>314</v>
      </c>
      <c r="F166" t="s">
        <v>4487</v>
      </c>
      <c r="G166" s="1" t="s">
        <v>315</v>
      </c>
      <c r="H166" t="s">
        <v>4488</v>
      </c>
    </row>
    <row r="167" spans="1:8" ht="14" customHeight="1" x14ac:dyDescent="0.2">
      <c r="A167" t="s">
        <v>2081</v>
      </c>
      <c r="B167" t="s">
        <v>3297</v>
      </c>
      <c r="E167" t="s">
        <v>316</v>
      </c>
      <c r="G167" t="s">
        <v>317</v>
      </c>
      <c r="H167" t="s">
        <v>4489</v>
      </c>
    </row>
    <row r="168" spans="1:8" ht="14" customHeight="1" x14ac:dyDescent="0.2">
      <c r="A168" t="s">
        <v>2082</v>
      </c>
      <c r="B168" t="s">
        <v>2082</v>
      </c>
      <c r="E168" t="s">
        <v>318</v>
      </c>
      <c r="F168" t="s">
        <v>4490</v>
      </c>
      <c r="G168" s="1" t="s">
        <v>319</v>
      </c>
      <c r="H168" t="s">
        <v>4491</v>
      </c>
    </row>
    <row r="169" spans="1:8" ht="14" customHeight="1" x14ac:dyDescent="0.2">
      <c r="A169" t="s">
        <v>2083</v>
      </c>
      <c r="B169" t="s">
        <v>3298</v>
      </c>
      <c r="E169" t="s">
        <v>320</v>
      </c>
      <c r="G169" t="s">
        <v>321</v>
      </c>
      <c r="H169" t="s">
        <v>4492</v>
      </c>
    </row>
    <row r="170" spans="1:8" ht="14" customHeight="1" x14ac:dyDescent="0.2">
      <c r="A170" t="s">
        <v>2084</v>
      </c>
      <c r="B170" t="s">
        <v>2084</v>
      </c>
      <c r="E170" t="s">
        <v>322</v>
      </c>
      <c r="F170" t="s">
        <v>4493</v>
      </c>
      <c r="G170" t="s">
        <v>323</v>
      </c>
      <c r="H170" t="s">
        <v>4494</v>
      </c>
    </row>
    <row r="171" spans="1:8" ht="14" customHeight="1" x14ac:dyDescent="0.2">
      <c r="A171" t="s">
        <v>2085</v>
      </c>
      <c r="B171" t="s">
        <v>3299</v>
      </c>
      <c r="C171" s="1" t="s">
        <v>2948</v>
      </c>
      <c r="D171" t="s">
        <v>3970</v>
      </c>
      <c r="E171" t="s">
        <v>324</v>
      </c>
      <c r="F171" t="s">
        <v>4495</v>
      </c>
      <c r="G171" t="s">
        <v>325</v>
      </c>
      <c r="H171" t="s">
        <v>4496</v>
      </c>
    </row>
    <row r="172" spans="1:8" ht="14" customHeight="1" x14ac:dyDescent="0.2">
      <c r="A172" t="s">
        <v>2086</v>
      </c>
      <c r="B172" t="s">
        <v>3300</v>
      </c>
      <c r="E172" t="s">
        <v>326</v>
      </c>
      <c r="F172" t="s">
        <v>4497</v>
      </c>
      <c r="G172" t="s">
        <v>327</v>
      </c>
      <c r="H172" t="s">
        <v>4498</v>
      </c>
    </row>
    <row r="173" spans="1:8" ht="14" customHeight="1" x14ac:dyDescent="0.2">
      <c r="A173" t="s">
        <v>2087</v>
      </c>
      <c r="B173" t="s">
        <v>3301</v>
      </c>
      <c r="E173" t="s">
        <v>328</v>
      </c>
      <c r="G173" t="s">
        <v>329</v>
      </c>
      <c r="H173" t="s">
        <v>4499</v>
      </c>
    </row>
    <row r="174" spans="1:8" ht="14" customHeight="1" x14ac:dyDescent="0.2">
      <c r="A174" t="s">
        <v>2088</v>
      </c>
      <c r="B174" t="s">
        <v>3302</v>
      </c>
      <c r="E174" t="s">
        <v>330</v>
      </c>
      <c r="F174" t="s">
        <v>4500</v>
      </c>
      <c r="G174" t="s">
        <v>331</v>
      </c>
      <c r="H174" t="s">
        <v>4501</v>
      </c>
    </row>
    <row r="175" spans="1:8" ht="14" customHeight="1" x14ac:dyDescent="0.2">
      <c r="A175" t="s">
        <v>2089</v>
      </c>
      <c r="B175" t="s">
        <v>2089</v>
      </c>
      <c r="E175" t="s">
        <v>332</v>
      </c>
      <c r="F175" t="s">
        <v>332</v>
      </c>
      <c r="G175" t="s">
        <v>333</v>
      </c>
      <c r="H175" t="s">
        <v>4502</v>
      </c>
    </row>
    <row r="176" spans="1:8" ht="14" customHeight="1" x14ac:dyDescent="0.2">
      <c r="A176" t="s">
        <v>2090</v>
      </c>
      <c r="B176" t="s">
        <v>2090</v>
      </c>
      <c r="E176" t="s">
        <v>334</v>
      </c>
      <c r="F176" t="s">
        <v>4503</v>
      </c>
      <c r="G176" t="s">
        <v>335</v>
      </c>
      <c r="H176" t="s">
        <v>4504</v>
      </c>
    </row>
    <row r="177" spans="1:8" ht="14" customHeight="1" x14ac:dyDescent="0.2">
      <c r="A177" t="s">
        <v>2091</v>
      </c>
      <c r="B177" t="s">
        <v>2091</v>
      </c>
      <c r="E177" t="s">
        <v>336</v>
      </c>
      <c r="F177" t="s">
        <v>4505</v>
      </c>
      <c r="G177" t="s">
        <v>337</v>
      </c>
      <c r="H177" t="s">
        <v>4506</v>
      </c>
    </row>
    <row r="178" spans="1:8" ht="14" customHeight="1" x14ac:dyDescent="0.2">
      <c r="A178" t="s">
        <v>2092</v>
      </c>
      <c r="B178" t="s">
        <v>3303</v>
      </c>
      <c r="E178" t="s">
        <v>338</v>
      </c>
      <c r="F178" t="s">
        <v>4507</v>
      </c>
      <c r="G178" t="s">
        <v>339</v>
      </c>
      <c r="H178" t="s">
        <v>4508</v>
      </c>
    </row>
    <row r="179" spans="1:8" ht="14" customHeight="1" x14ac:dyDescent="0.2">
      <c r="A179" t="s">
        <v>2093</v>
      </c>
      <c r="B179" t="s">
        <v>3304</v>
      </c>
      <c r="E179" t="s">
        <v>340</v>
      </c>
      <c r="F179" t="s">
        <v>4509</v>
      </c>
      <c r="G179" t="s">
        <v>341</v>
      </c>
      <c r="H179" t="s">
        <v>4510</v>
      </c>
    </row>
    <row r="180" spans="1:8" ht="14" customHeight="1" x14ac:dyDescent="0.2">
      <c r="A180" t="s">
        <v>2094</v>
      </c>
      <c r="B180" t="s">
        <v>3305</v>
      </c>
      <c r="E180" t="s">
        <v>342</v>
      </c>
      <c r="F180" t="s">
        <v>4511</v>
      </c>
      <c r="G180" t="s">
        <v>343</v>
      </c>
      <c r="H180" t="s">
        <v>4512</v>
      </c>
    </row>
    <row r="181" spans="1:8" ht="14" customHeight="1" x14ac:dyDescent="0.2">
      <c r="A181" t="s">
        <v>2095</v>
      </c>
      <c r="B181" t="s">
        <v>3306</v>
      </c>
      <c r="E181" t="s">
        <v>344</v>
      </c>
      <c r="F181" t="s">
        <v>4513</v>
      </c>
      <c r="G181" t="s">
        <v>345</v>
      </c>
      <c r="H181" t="s">
        <v>4514</v>
      </c>
    </row>
    <row r="182" spans="1:8" ht="14" customHeight="1" x14ac:dyDescent="0.2">
      <c r="A182" t="s">
        <v>2096</v>
      </c>
      <c r="B182" t="s">
        <v>3307</v>
      </c>
      <c r="E182" t="s">
        <v>346</v>
      </c>
      <c r="F182" t="s">
        <v>4515</v>
      </c>
      <c r="G182" s="1" t="s">
        <v>347</v>
      </c>
      <c r="H182" t="s">
        <v>4516</v>
      </c>
    </row>
    <row r="183" spans="1:8" ht="14" customHeight="1" x14ac:dyDescent="0.2">
      <c r="A183" t="s">
        <v>2097</v>
      </c>
      <c r="B183" t="s">
        <v>2097</v>
      </c>
      <c r="E183" t="s">
        <v>348</v>
      </c>
      <c r="G183" t="s">
        <v>349</v>
      </c>
      <c r="H183" t="s">
        <v>4517</v>
      </c>
    </row>
    <row r="184" spans="1:8" ht="14" customHeight="1" x14ac:dyDescent="0.2">
      <c r="A184" t="s">
        <v>2098</v>
      </c>
      <c r="B184" t="s">
        <v>3308</v>
      </c>
      <c r="E184" t="s">
        <v>350</v>
      </c>
      <c r="F184" t="s">
        <v>4518</v>
      </c>
      <c r="G184" t="s">
        <v>351</v>
      </c>
      <c r="H184" t="s">
        <v>4519</v>
      </c>
    </row>
    <row r="185" spans="1:8" ht="14" customHeight="1" x14ac:dyDescent="0.2">
      <c r="A185" t="s">
        <v>2099</v>
      </c>
      <c r="B185" t="s">
        <v>3309</v>
      </c>
      <c r="E185" t="s">
        <v>352</v>
      </c>
      <c r="F185" t="s">
        <v>4520</v>
      </c>
      <c r="G185" t="s">
        <v>353</v>
      </c>
      <c r="H185" t="s">
        <v>4521</v>
      </c>
    </row>
    <row r="186" spans="1:8" ht="14" customHeight="1" x14ac:dyDescent="0.2">
      <c r="A186" t="s">
        <v>2100</v>
      </c>
      <c r="B186" t="s">
        <v>3310</v>
      </c>
      <c r="E186" t="e">
        <f>-Worked with fun people -Enjoyed the team building activities</f>
        <v>#NAME?</v>
      </c>
      <c r="F186" t="s">
        <v>4522</v>
      </c>
      <c r="G186" t="e">
        <f>-Discretionary Bonuses -Management does not reward loyalty -Problems are left to fester rather than being dealt with immediately -Structured training For new employees is non existent</f>
        <v>#NAME?</v>
      </c>
      <c r="H186" t="s">
        <v>4523</v>
      </c>
    </row>
    <row r="187" spans="1:8" ht="14" customHeight="1" x14ac:dyDescent="0.2">
      <c r="A187" t="s">
        <v>2101</v>
      </c>
      <c r="B187" t="s">
        <v>2101</v>
      </c>
      <c r="C187" t="s">
        <v>2949</v>
      </c>
      <c r="D187" t="s">
        <v>3971</v>
      </c>
      <c r="E187" t="s">
        <v>354</v>
      </c>
      <c r="F187" t="s">
        <v>4524</v>
      </c>
      <c r="G187" t="s">
        <v>355</v>
      </c>
      <c r="H187" t="s">
        <v>4525</v>
      </c>
    </row>
    <row r="188" spans="1:8" ht="14" customHeight="1" x14ac:dyDescent="0.2">
      <c r="A188" t="s">
        <v>2102</v>
      </c>
      <c r="B188" t="s">
        <v>3311</v>
      </c>
      <c r="C188" t="s">
        <v>2950</v>
      </c>
      <c r="E188" t="s">
        <v>356</v>
      </c>
      <c r="F188" t="s">
        <v>4526</v>
      </c>
      <c r="G188" t="s">
        <v>357</v>
      </c>
      <c r="H188" t="s">
        <v>4527</v>
      </c>
    </row>
    <row r="189" spans="1:8" ht="14" customHeight="1" x14ac:dyDescent="0.2">
      <c r="A189" t="s">
        <v>2103</v>
      </c>
      <c r="B189" t="s">
        <v>3312</v>
      </c>
      <c r="E189" t="s">
        <v>358</v>
      </c>
      <c r="F189" t="s">
        <v>4528</v>
      </c>
      <c r="G189" t="s">
        <v>359</v>
      </c>
      <c r="H189" t="s">
        <v>4529</v>
      </c>
    </row>
    <row r="190" spans="1:8" ht="14" customHeight="1" x14ac:dyDescent="0.2">
      <c r="A190" t="s">
        <v>2104</v>
      </c>
      <c r="B190" t="s">
        <v>2104</v>
      </c>
      <c r="C190" t="s">
        <v>2951</v>
      </c>
      <c r="D190" t="s">
        <v>3972</v>
      </c>
      <c r="E190" t="s">
        <v>360</v>
      </c>
      <c r="F190" t="s">
        <v>4530</v>
      </c>
      <c r="G190" s="1" t="s">
        <v>361</v>
      </c>
      <c r="H190" t="s">
        <v>4531</v>
      </c>
    </row>
    <row r="191" spans="1:8" ht="14" customHeight="1" x14ac:dyDescent="0.2">
      <c r="C191" t="s">
        <v>2952</v>
      </c>
      <c r="D191" t="s">
        <v>3973</v>
      </c>
      <c r="E191" t="s">
        <v>362</v>
      </c>
      <c r="F191" t="s">
        <v>4532</v>
      </c>
      <c r="G191" t="s">
        <v>363</v>
      </c>
      <c r="H191" t="s">
        <v>4533</v>
      </c>
    </row>
    <row r="192" spans="1:8" ht="14" customHeight="1" x14ac:dyDescent="0.2">
      <c r="A192" t="s">
        <v>2105</v>
      </c>
      <c r="B192" t="s">
        <v>3313</v>
      </c>
      <c r="C192" t="s">
        <v>2953</v>
      </c>
      <c r="D192" t="s">
        <v>3974</v>
      </c>
      <c r="E192" t="s">
        <v>364</v>
      </c>
      <c r="F192" t="s">
        <v>4534</v>
      </c>
      <c r="G192" t="s">
        <v>365</v>
      </c>
    </row>
    <row r="193" spans="1:8" ht="14" customHeight="1" x14ac:dyDescent="0.2">
      <c r="A193" t="s">
        <v>2106</v>
      </c>
      <c r="B193" t="s">
        <v>3314</v>
      </c>
      <c r="E193" t="e">
        <f>- great collaborative work environment
- very supportive technical team
- Strong Benefits package
- Cares about customers
- flexibility to innovate and improve your role</f>
        <v>#NAME?</v>
      </c>
      <c r="F193" t="s">
        <v>4535</v>
      </c>
      <c r="G193" t="e">
        <f>-Processes are lacking in some areas
- Would like to work from home more</f>
        <v>#NAME?</v>
      </c>
      <c r="H193" t="s">
        <v>4536</v>
      </c>
    </row>
    <row r="194" spans="1:8" ht="14" customHeight="1" x14ac:dyDescent="0.2">
      <c r="A194" t="s">
        <v>2107</v>
      </c>
      <c r="B194" t="s">
        <v>3315</v>
      </c>
      <c r="C194" t="s">
        <v>2954</v>
      </c>
      <c r="D194" t="s">
        <v>3975</v>
      </c>
      <c r="E194" t="s">
        <v>366</v>
      </c>
      <c r="F194" t="s">
        <v>4537</v>
      </c>
      <c r="G194" t="s">
        <v>367</v>
      </c>
      <c r="H194" t="s">
        <v>4538</v>
      </c>
    </row>
    <row r="195" spans="1:8" ht="14" customHeight="1" x14ac:dyDescent="0.2">
      <c r="A195" t="s">
        <v>2108</v>
      </c>
      <c r="B195" t="s">
        <v>3316</v>
      </c>
      <c r="C195" t="s">
        <v>2955</v>
      </c>
      <c r="D195" t="s">
        <v>3976</v>
      </c>
      <c r="E195" t="s">
        <v>368</v>
      </c>
      <c r="G195" t="s">
        <v>369</v>
      </c>
      <c r="H195" t="s">
        <v>4539</v>
      </c>
    </row>
    <row r="196" spans="1:8" ht="14" customHeight="1" x14ac:dyDescent="0.2">
      <c r="A196" t="s">
        <v>2109</v>
      </c>
      <c r="B196" t="s">
        <v>3317</v>
      </c>
      <c r="C196" t="s">
        <v>2956</v>
      </c>
      <c r="D196" t="s">
        <v>3977</v>
      </c>
      <c r="E196" t="s">
        <v>370</v>
      </c>
      <c r="F196" t="s">
        <v>4540</v>
      </c>
      <c r="G196" t="s">
        <v>371</v>
      </c>
      <c r="H196" t="s">
        <v>4541</v>
      </c>
    </row>
    <row r="197" spans="1:8" ht="14" customHeight="1" x14ac:dyDescent="0.2">
      <c r="A197" t="s">
        <v>2110</v>
      </c>
      <c r="B197" t="s">
        <v>3318</v>
      </c>
      <c r="C197" t="s">
        <v>2957</v>
      </c>
      <c r="D197" t="s">
        <v>3978</v>
      </c>
      <c r="E197" t="s">
        <v>372</v>
      </c>
      <c r="F197" t="s">
        <v>4542</v>
      </c>
      <c r="G197" t="s">
        <v>373</v>
      </c>
    </row>
    <row r="198" spans="1:8" ht="14" customHeight="1" x14ac:dyDescent="0.2">
      <c r="A198" t="s">
        <v>2111</v>
      </c>
      <c r="C198" t="s">
        <v>2374</v>
      </c>
      <c r="E198" t="s">
        <v>374</v>
      </c>
      <c r="F198" t="s">
        <v>4544</v>
      </c>
      <c r="G198" t="s">
        <v>375</v>
      </c>
    </row>
    <row r="199" spans="1:8" ht="14" customHeight="1" x14ac:dyDescent="0.2">
      <c r="A199" t="s">
        <v>2112</v>
      </c>
      <c r="C199" t="s">
        <v>2958</v>
      </c>
      <c r="E199" s="1" t="s">
        <v>376</v>
      </c>
      <c r="F199" t="s">
        <v>4546</v>
      </c>
      <c r="G199" s="1" t="s">
        <v>377</v>
      </c>
      <c r="H199" t="s">
        <v>4543</v>
      </c>
    </row>
    <row r="200" spans="1:8" ht="14" customHeight="1" x14ac:dyDescent="0.2">
      <c r="A200" t="s">
        <v>2113</v>
      </c>
      <c r="B200" t="s">
        <v>3319</v>
      </c>
      <c r="C200" t="s">
        <v>2959</v>
      </c>
      <c r="D200" t="s">
        <v>3979</v>
      </c>
      <c r="E200" t="s">
        <v>378</v>
      </c>
      <c r="F200" t="s">
        <v>4547</v>
      </c>
      <c r="G200" t="s">
        <v>379</v>
      </c>
      <c r="H200" t="s">
        <v>4545</v>
      </c>
    </row>
    <row r="201" spans="1:8" ht="14" customHeight="1" x14ac:dyDescent="0.2">
      <c r="A201" t="s">
        <v>2114</v>
      </c>
      <c r="B201" t="s">
        <v>3320</v>
      </c>
      <c r="E201" t="s">
        <v>380</v>
      </c>
      <c r="F201" t="s">
        <v>4548</v>
      </c>
      <c r="G201" t="s">
        <v>381</v>
      </c>
      <c r="H201" t="s">
        <v>4549</v>
      </c>
    </row>
    <row r="202" spans="1:8" ht="14" customHeight="1" x14ac:dyDescent="0.2">
      <c r="A202" t="s">
        <v>1947</v>
      </c>
      <c r="E202" t="s">
        <v>382</v>
      </c>
      <c r="F202" t="s">
        <v>4550</v>
      </c>
      <c r="G202" t="s">
        <v>383</v>
      </c>
      <c r="H202" t="s">
        <v>4551</v>
      </c>
    </row>
    <row r="203" spans="1:8" ht="14" customHeight="1" x14ac:dyDescent="0.2">
      <c r="A203" t="s">
        <v>2115</v>
      </c>
      <c r="B203" t="s">
        <v>3321</v>
      </c>
      <c r="C203" t="s">
        <v>2960</v>
      </c>
      <c r="D203" t="s">
        <v>3980</v>
      </c>
      <c r="E203" t="s">
        <v>384</v>
      </c>
      <c r="F203" t="s">
        <v>4552</v>
      </c>
      <c r="G203" t="s">
        <v>385</v>
      </c>
      <c r="H203" t="s">
        <v>4553</v>
      </c>
    </row>
    <row r="204" spans="1:8" ht="14" customHeight="1" x14ac:dyDescent="0.2">
      <c r="A204" t="s">
        <v>2116</v>
      </c>
      <c r="C204" t="s">
        <v>2961</v>
      </c>
      <c r="E204" t="s">
        <v>386</v>
      </c>
      <c r="F204" t="s">
        <v>4554</v>
      </c>
      <c r="G204" t="s">
        <v>387</v>
      </c>
      <c r="H204" t="s">
        <v>4555</v>
      </c>
    </row>
    <row r="205" spans="1:8" ht="14" customHeight="1" x14ac:dyDescent="0.2">
      <c r="A205" t="s">
        <v>2117</v>
      </c>
      <c r="B205" t="s">
        <v>3322</v>
      </c>
      <c r="E205" t="s">
        <v>388</v>
      </c>
      <c r="F205" t="s">
        <v>4556</v>
      </c>
      <c r="G205" t="s">
        <v>389</v>
      </c>
      <c r="H205" t="s">
        <v>4557</v>
      </c>
    </row>
    <row r="206" spans="1:8" ht="14" customHeight="1" x14ac:dyDescent="0.2">
      <c r="A206" t="s">
        <v>2118</v>
      </c>
      <c r="B206" t="s">
        <v>2118</v>
      </c>
      <c r="E206" t="s">
        <v>390</v>
      </c>
      <c r="F206" t="s">
        <v>4558</v>
      </c>
      <c r="G206" t="s">
        <v>391</v>
      </c>
      <c r="H206" t="s">
        <v>4559</v>
      </c>
    </row>
    <row r="207" spans="1:8" ht="14" customHeight="1" x14ac:dyDescent="0.2">
      <c r="A207" t="s">
        <v>2119</v>
      </c>
      <c r="B207" t="s">
        <v>3323</v>
      </c>
      <c r="C207" t="s">
        <v>2962</v>
      </c>
      <c r="D207" t="s">
        <v>3981</v>
      </c>
      <c r="E207" t="s">
        <v>392</v>
      </c>
      <c r="F207" t="s">
        <v>4560</v>
      </c>
      <c r="G207" t="s">
        <v>393</v>
      </c>
      <c r="H207" t="s">
        <v>4561</v>
      </c>
    </row>
    <row r="208" spans="1:8" ht="14" customHeight="1" x14ac:dyDescent="0.2">
      <c r="A208" t="s">
        <v>2120</v>
      </c>
      <c r="B208" t="s">
        <v>3324</v>
      </c>
      <c r="C208" t="s">
        <v>2963</v>
      </c>
      <c r="D208" t="s">
        <v>3982</v>
      </c>
      <c r="E208" t="s">
        <v>394</v>
      </c>
      <c r="G208" t="s">
        <v>395</v>
      </c>
    </row>
    <row r="209" spans="1:8" ht="14" customHeight="1" x14ac:dyDescent="0.2">
      <c r="A209" t="s">
        <v>2121</v>
      </c>
      <c r="B209" t="s">
        <v>3325</v>
      </c>
      <c r="C209" t="s">
        <v>2964</v>
      </c>
      <c r="D209" t="s">
        <v>3983</v>
      </c>
      <c r="E209" t="s">
        <v>396</v>
      </c>
      <c r="F209" t="s">
        <v>4562</v>
      </c>
      <c r="G209" t="s">
        <v>397</v>
      </c>
      <c r="H209" t="s">
        <v>397</v>
      </c>
    </row>
    <row r="210" spans="1:8" ht="14" customHeight="1" x14ac:dyDescent="0.2">
      <c r="A210" t="s">
        <v>2122</v>
      </c>
      <c r="B210" t="s">
        <v>3326</v>
      </c>
      <c r="C210" t="s">
        <v>2965</v>
      </c>
      <c r="D210" t="s">
        <v>3984</v>
      </c>
      <c r="E210" t="s">
        <v>398</v>
      </c>
      <c r="F210" t="s">
        <v>4563</v>
      </c>
      <c r="G210" t="s">
        <v>399</v>
      </c>
      <c r="H210" t="s">
        <v>4564</v>
      </c>
    </row>
    <row r="211" spans="1:8" ht="14" customHeight="1" x14ac:dyDescent="0.2">
      <c r="A211" t="s">
        <v>2123</v>
      </c>
      <c r="B211" t="s">
        <v>3327</v>
      </c>
      <c r="C211" t="s">
        <v>2966</v>
      </c>
      <c r="D211" t="s">
        <v>3985</v>
      </c>
      <c r="E211" t="s">
        <v>400</v>
      </c>
      <c r="F211" t="s">
        <v>4565</v>
      </c>
      <c r="G211" t="s">
        <v>401</v>
      </c>
      <c r="H211" t="s">
        <v>4566</v>
      </c>
    </row>
    <row r="212" spans="1:8" ht="14" customHeight="1" x14ac:dyDescent="0.2">
      <c r="A212" t="s">
        <v>2124</v>
      </c>
      <c r="B212" t="s">
        <v>3328</v>
      </c>
      <c r="E212" t="s">
        <v>402</v>
      </c>
      <c r="F212" t="s">
        <v>4567</v>
      </c>
      <c r="G212" t="s">
        <v>403</v>
      </c>
      <c r="H212" t="s">
        <v>4568</v>
      </c>
    </row>
    <row r="213" spans="1:8" ht="14" customHeight="1" x14ac:dyDescent="0.2">
      <c r="A213" t="s">
        <v>2125</v>
      </c>
      <c r="B213" t="s">
        <v>3272</v>
      </c>
      <c r="C213" t="s">
        <v>2967</v>
      </c>
      <c r="D213" t="s">
        <v>3986</v>
      </c>
      <c r="E213" t="s">
        <v>404</v>
      </c>
      <c r="F213" t="s">
        <v>4569</v>
      </c>
      <c r="G213" t="s">
        <v>405</v>
      </c>
    </row>
    <row r="214" spans="1:8" ht="14" customHeight="1" x14ac:dyDescent="0.2">
      <c r="A214" t="s">
        <v>2126</v>
      </c>
      <c r="B214" t="s">
        <v>3329</v>
      </c>
      <c r="C214" t="s">
        <v>2922</v>
      </c>
      <c r="D214" t="s">
        <v>3987</v>
      </c>
      <c r="E214" t="s">
        <v>406</v>
      </c>
      <c r="F214" t="s">
        <v>4570</v>
      </c>
      <c r="G214" t="s">
        <v>407</v>
      </c>
      <c r="H214" t="s">
        <v>4571</v>
      </c>
    </row>
    <row r="215" spans="1:8" ht="14" customHeight="1" x14ac:dyDescent="0.2">
      <c r="A215" t="s">
        <v>2127</v>
      </c>
      <c r="B215" t="s">
        <v>3330</v>
      </c>
      <c r="C215" t="s">
        <v>2968</v>
      </c>
      <c r="D215" t="s">
        <v>3988</v>
      </c>
      <c r="E215" t="s">
        <v>408</v>
      </c>
      <c r="F215" t="s">
        <v>4572</v>
      </c>
      <c r="G215" t="s">
        <v>409</v>
      </c>
      <c r="H215" t="s">
        <v>4573</v>
      </c>
    </row>
    <row r="216" spans="1:8" ht="14" customHeight="1" x14ac:dyDescent="0.2">
      <c r="A216" t="s">
        <v>2128</v>
      </c>
      <c r="B216" t="s">
        <v>3331</v>
      </c>
      <c r="C216" t="s">
        <v>2969</v>
      </c>
      <c r="D216" t="s">
        <v>3989</v>
      </c>
      <c r="E216" t="s">
        <v>410</v>
      </c>
      <c r="F216" t="s">
        <v>4574</v>
      </c>
      <c r="G216" t="s">
        <v>411</v>
      </c>
      <c r="H216" t="s">
        <v>4575</v>
      </c>
    </row>
    <row r="217" spans="1:8" ht="14" customHeight="1" x14ac:dyDescent="0.2">
      <c r="A217" t="s">
        <v>2129</v>
      </c>
      <c r="B217" t="s">
        <v>3332</v>
      </c>
      <c r="E217" t="s">
        <v>412</v>
      </c>
      <c r="F217" t="s">
        <v>4576</v>
      </c>
      <c r="G217" s="1" t="s">
        <v>413</v>
      </c>
    </row>
    <row r="218" spans="1:8" ht="14" customHeight="1" x14ac:dyDescent="0.2">
      <c r="A218" t="s">
        <v>1947</v>
      </c>
      <c r="B218" t="s">
        <v>1947</v>
      </c>
      <c r="E218" t="s">
        <v>414</v>
      </c>
      <c r="F218" t="s">
        <v>4578</v>
      </c>
      <c r="G218" t="s">
        <v>415</v>
      </c>
      <c r="H218" t="s">
        <v>4577</v>
      </c>
    </row>
    <row r="219" spans="1:8" ht="14" customHeight="1" x14ac:dyDescent="0.2">
      <c r="A219" t="s">
        <v>2130</v>
      </c>
      <c r="B219" t="s">
        <v>3333</v>
      </c>
      <c r="E219" t="s">
        <v>416</v>
      </c>
      <c r="F219" t="s">
        <v>4579</v>
      </c>
      <c r="G219" t="s">
        <v>417</v>
      </c>
      <c r="H219" t="s">
        <v>415</v>
      </c>
    </row>
    <row r="220" spans="1:8" ht="14" customHeight="1" x14ac:dyDescent="0.2">
      <c r="A220" t="s">
        <v>2131</v>
      </c>
      <c r="B220" t="s">
        <v>3334</v>
      </c>
      <c r="E220" t="s">
        <v>418</v>
      </c>
      <c r="F220" t="s">
        <v>4581</v>
      </c>
      <c r="G220" s="1" t="s">
        <v>419</v>
      </c>
      <c r="H220" t="s">
        <v>4580</v>
      </c>
    </row>
    <row r="221" spans="1:8" ht="14" customHeight="1" x14ac:dyDescent="0.2">
      <c r="A221" t="s">
        <v>2132</v>
      </c>
      <c r="B221" t="s">
        <v>3335</v>
      </c>
      <c r="E221" t="s">
        <v>420</v>
      </c>
      <c r="G221" t="s">
        <v>421</v>
      </c>
      <c r="H221" t="s">
        <v>4582</v>
      </c>
    </row>
    <row r="222" spans="1:8" ht="14" customHeight="1" x14ac:dyDescent="0.2">
      <c r="A222" t="s">
        <v>2133</v>
      </c>
      <c r="B222" t="s">
        <v>3336</v>
      </c>
      <c r="E222" t="s">
        <v>422</v>
      </c>
      <c r="F222" t="s">
        <v>3651</v>
      </c>
      <c r="G222" s="1" t="s">
        <v>423</v>
      </c>
      <c r="H222" t="s">
        <v>4583</v>
      </c>
    </row>
    <row r="223" spans="1:8" ht="14" customHeight="1" x14ac:dyDescent="0.2">
      <c r="A223" t="s">
        <v>2134</v>
      </c>
      <c r="B223" t="s">
        <v>3337</v>
      </c>
      <c r="E223" t="s">
        <v>424</v>
      </c>
      <c r="F223" t="s">
        <v>4585</v>
      </c>
      <c r="G223" t="s">
        <v>425</v>
      </c>
      <c r="H223" t="s">
        <v>4584</v>
      </c>
    </row>
    <row r="224" spans="1:8" ht="14" customHeight="1" x14ac:dyDescent="0.2">
      <c r="A224" t="s">
        <v>2135</v>
      </c>
      <c r="B224" t="s">
        <v>3338</v>
      </c>
      <c r="E224" t="s">
        <v>426</v>
      </c>
      <c r="F224" t="s">
        <v>4587</v>
      </c>
      <c r="G224" s="1" t="s">
        <v>427</v>
      </c>
      <c r="H224" t="s">
        <v>4586</v>
      </c>
    </row>
    <row r="225" spans="1:8" ht="14" customHeight="1" x14ac:dyDescent="0.2">
      <c r="A225" t="s">
        <v>2136</v>
      </c>
      <c r="B225" t="s">
        <v>3339</v>
      </c>
      <c r="E225" t="s">
        <v>428</v>
      </c>
      <c r="F225" t="s">
        <v>4589</v>
      </c>
      <c r="G225" t="s">
        <v>429</v>
      </c>
      <c r="H225" t="s">
        <v>4588</v>
      </c>
    </row>
    <row r="226" spans="1:8" ht="14" customHeight="1" x14ac:dyDescent="0.2">
      <c r="A226" t="s">
        <v>2137</v>
      </c>
      <c r="B226" t="s">
        <v>3340</v>
      </c>
      <c r="E226" t="s">
        <v>430</v>
      </c>
      <c r="F226" t="s">
        <v>4591</v>
      </c>
      <c r="G226" t="s">
        <v>431</v>
      </c>
      <c r="H226" t="s">
        <v>4590</v>
      </c>
    </row>
    <row r="227" spans="1:8" ht="14" customHeight="1" x14ac:dyDescent="0.2">
      <c r="A227" t="s">
        <v>2138</v>
      </c>
      <c r="B227" t="s">
        <v>2138</v>
      </c>
      <c r="E227" s="1" t="s">
        <v>432</v>
      </c>
      <c r="F227" t="s">
        <v>4593</v>
      </c>
      <c r="G227" s="1" t="s">
        <v>433</v>
      </c>
      <c r="H227" t="s">
        <v>4592</v>
      </c>
    </row>
    <row r="228" spans="1:8" ht="14" customHeight="1" x14ac:dyDescent="0.2">
      <c r="A228" t="s">
        <v>2139</v>
      </c>
      <c r="B228" t="s">
        <v>3341</v>
      </c>
      <c r="C228" t="s">
        <v>2970</v>
      </c>
      <c r="D228" t="s">
        <v>3990</v>
      </c>
      <c r="E228" t="s">
        <v>434</v>
      </c>
      <c r="F228" t="s">
        <v>4595</v>
      </c>
      <c r="G228" t="s">
        <v>435</v>
      </c>
      <c r="H228" t="s">
        <v>4594</v>
      </c>
    </row>
    <row r="229" spans="1:8" ht="14" customHeight="1" x14ac:dyDescent="0.2">
      <c r="A229" t="s">
        <v>2140</v>
      </c>
      <c r="B229" t="s">
        <v>2140</v>
      </c>
      <c r="E229" t="s">
        <v>436</v>
      </c>
      <c r="F229" t="s">
        <v>436</v>
      </c>
      <c r="G229" t="s">
        <v>437</v>
      </c>
      <c r="H229" t="s">
        <v>4596</v>
      </c>
    </row>
    <row r="230" spans="1:8" ht="14" customHeight="1" x14ac:dyDescent="0.2">
      <c r="A230" t="s">
        <v>2141</v>
      </c>
      <c r="B230" t="s">
        <v>3342</v>
      </c>
      <c r="E230" t="s">
        <v>438</v>
      </c>
      <c r="F230" t="s">
        <v>4598</v>
      </c>
      <c r="G230" t="s">
        <v>439</v>
      </c>
      <c r="H230" t="s">
        <v>4597</v>
      </c>
    </row>
    <row r="231" spans="1:8" ht="14" customHeight="1" x14ac:dyDescent="0.2">
      <c r="A231" t="s">
        <v>2142</v>
      </c>
      <c r="B231" t="s">
        <v>3343</v>
      </c>
      <c r="E231" t="s">
        <v>440</v>
      </c>
      <c r="F231" t="s">
        <v>4600</v>
      </c>
      <c r="G231" t="s">
        <v>441</v>
      </c>
      <c r="H231" t="s">
        <v>4599</v>
      </c>
    </row>
    <row r="232" spans="1:8" ht="14" customHeight="1" x14ac:dyDescent="0.2">
      <c r="A232" t="s">
        <v>2143</v>
      </c>
      <c r="B232" t="s">
        <v>2143</v>
      </c>
      <c r="C232" t="s">
        <v>2971</v>
      </c>
      <c r="D232" t="s">
        <v>3991</v>
      </c>
      <c r="E232" t="s">
        <v>442</v>
      </c>
      <c r="G232" t="s">
        <v>443</v>
      </c>
      <c r="H232" t="s">
        <v>4601</v>
      </c>
    </row>
    <row r="233" spans="1:8" ht="14" customHeight="1" x14ac:dyDescent="0.2">
      <c r="A233" t="s">
        <v>2144</v>
      </c>
      <c r="B233" t="s">
        <v>3344</v>
      </c>
      <c r="E233" s="1" t="s">
        <v>444</v>
      </c>
      <c r="F233" t="s">
        <v>4603</v>
      </c>
      <c r="G233" s="1" t="s">
        <v>445</v>
      </c>
      <c r="H233" t="s">
        <v>4602</v>
      </c>
    </row>
    <row r="234" spans="1:8" ht="14" customHeight="1" x14ac:dyDescent="0.2">
      <c r="A234" t="s">
        <v>2145</v>
      </c>
      <c r="B234" t="s">
        <v>3345</v>
      </c>
      <c r="E234" t="s">
        <v>446</v>
      </c>
      <c r="F234" t="s">
        <v>4605</v>
      </c>
      <c r="G234" s="1" t="s">
        <v>447</v>
      </c>
      <c r="H234" t="s">
        <v>4604</v>
      </c>
    </row>
    <row r="235" spans="1:8" ht="14" customHeight="1" x14ac:dyDescent="0.2">
      <c r="A235" t="s">
        <v>2146</v>
      </c>
      <c r="B235" t="s">
        <v>3346</v>
      </c>
      <c r="E235" t="s">
        <v>448</v>
      </c>
      <c r="F235" t="s">
        <v>448</v>
      </c>
      <c r="G235" t="s">
        <v>449</v>
      </c>
      <c r="H235" t="s">
        <v>4606</v>
      </c>
    </row>
    <row r="236" spans="1:8" ht="14" customHeight="1" x14ac:dyDescent="0.2">
      <c r="A236" t="s">
        <v>2147</v>
      </c>
      <c r="B236" t="s">
        <v>3347</v>
      </c>
      <c r="C236" t="s">
        <v>2972</v>
      </c>
      <c r="D236" t="s">
        <v>3992</v>
      </c>
      <c r="E236" t="s">
        <v>450</v>
      </c>
      <c r="F236" t="s">
        <v>4608</v>
      </c>
      <c r="G236" t="s">
        <v>451</v>
      </c>
      <c r="H236" t="s">
        <v>4607</v>
      </c>
    </row>
    <row r="237" spans="1:8" ht="14" customHeight="1" x14ac:dyDescent="0.2">
      <c r="A237" t="s">
        <v>2148</v>
      </c>
      <c r="B237" t="s">
        <v>3348</v>
      </c>
      <c r="E237" s="1" t="s">
        <v>452</v>
      </c>
      <c r="F237" t="s">
        <v>4610</v>
      </c>
      <c r="G237" t="s">
        <v>453</v>
      </c>
      <c r="H237" t="s">
        <v>4609</v>
      </c>
    </row>
    <row r="238" spans="1:8" ht="14" customHeight="1" x14ac:dyDescent="0.2">
      <c r="A238" t="s">
        <v>2149</v>
      </c>
      <c r="B238" t="s">
        <v>3349</v>
      </c>
      <c r="E238" t="e">
        <f>- Discount on clothing
- great Commission when you hit goals
- Growth in the company if you prove loyal to growing w/company
- Creating close-knit family relationships with coworkers</f>
        <v>#NAME?</v>
      </c>
      <c r="F238" t="s">
        <v>4612</v>
      </c>
      <c r="G238" t="e">
        <f>- Mis Managed by Founder, CEO which trickled down to upper Management
- upper Management made it obvious they were taking advantage of their high pay by being irresponsible with how they treated store managers/workers
- a lot of upper Management people knew their company had laid Back valued with freedom, so they definitely took advantage while they could
- very little assistance with store managers that needed the help the Most
- Immature upper Management lead to a lot of unprofessional ways they Would manage store associates
- Profit Minded, but never treated the salespeople with the respect they deserved. you know, since the sales folx were the only people actually selling their product.</f>
        <v>#NAME?</v>
      </c>
      <c r="H238" t="s">
        <v>4611</v>
      </c>
    </row>
    <row r="239" spans="1:8" ht="14" customHeight="1" x14ac:dyDescent="0.2">
      <c r="A239" t="s">
        <v>2150</v>
      </c>
      <c r="B239" t="s">
        <v>3350</v>
      </c>
      <c r="E239" t="s">
        <v>454</v>
      </c>
      <c r="F239" t="s">
        <v>4614</v>
      </c>
      <c r="G239" t="s">
        <v>455</v>
      </c>
      <c r="H239" t="s">
        <v>4613</v>
      </c>
    </row>
    <row r="240" spans="1:8" ht="14" customHeight="1" x14ac:dyDescent="0.2">
      <c r="A240" t="s">
        <v>2151</v>
      </c>
      <c r="B240" t="s">
        <v>3351</v>
      </c>
      <c r="E240" t="s">
        <v>456</v>
      </c>
      <c r="F240" t="s">
        <v>4616</v>
      </c>
      <c r="G240" t="s">
        <v>457</v>
      </c>
      <c r="H240" t="s">
        <v>4615</v>
      </c>
    </row>
    <row r="241" spans="1:8" ht="14" customHeight="1" x14ac:dyDescent="0.2">
      <c r="A241" t="s">
        <v>2152</v>
      </c>
      <c r="B241" t="s">
        <v>3352</v>
      </c>
      <c r="E241" t="s">
        <v>458</v>
      </c>
      <c r="F241" t="s">
        <v>4618</v>
      </c>
      <c r="G241" t="s">
        <v>459</v>
      </c>
      <c r="H241" t="s">
        <v>4617</v>
      </c>
    </row>
    <row r="242" spans="1:8" ht="14" customHeight="1" x14ac:dyDescent="0.2">
      <c r="A242" t="s">
        <v>2153</v>
      </c>
      <c r="B242" t="s">
        <v>3353</v>
      </c>
      <c r="E242" t="s">
        <v>460</v>
      </c>
      <c r="F242" t="s">
        <v>4620</v>
      </c>
      <c r="G242" t="s">
        <v>461</v>
      </c>
      <c r="H242" t="s">
        <v>4619</v>
      </c>
    </row>
    <row r="243" spans="1:8" ht="14" customHeight="1" x14ac:dyDescent="0.2">
      <c r="A243" t="s">
        <v>2154</v>
      </c>
      <c r="B243" t="s">
        <v>3354</v>
      </c>
      <c r="C243" t="s">
        <v>2973</v>
      </c>
      <c r="D243" t="s">
        <v>3993</v>
      </c>
      <c r="E243" t="s">
        <v>462</v>
      </c>
      <c r="F243" t="s">
        <v>4622</v>
      </c>
      <c r="G243" t="s">
        <v>463</v>
      </c>
      <c r="H243" t="s">
        <v>4621</v>
      </c>
    </row>
    <row r="244" spans="1:8" ht="14" customHeight="1" x14ac:dyDescent="0.2">
      <c r="A244" t="s">
        <v>2155</v>
      </c>
      <c r="B244" t="s">
        <v>3355</v>
      </c>
      <c r="E244" s="1" t="s">
        <v>464</v>
      </c>
      <c r="F244" t="s">
        <v>4624</v>
      </c>
      <c r="G244" s="1" t="s">
        <v>465</v>
      </c>
      <c r="H244" t="s">
        <v>4623</v>
      </c>
    </row>
    <row r="245" spans="1:8" ht="14" customHeight="1" x14ac:dyDescent="0.2">
      <c r="A245" t="s">
        <v>2156</v>
      </c>
      <c r="B245" t="s">
        <v>3356</v>
      </c>
      <c r="E245" t="s">
        <v>466</v>
      </c>
      <c r="F245" t="s">
        <v>4626</v>
      </c>
      <c r="G245" s="1" t="s">
        <v>467</v>
      </c>
      <c r="H245" t="s">
        <v>4625</v>
      </c>
    </row>
    <row r="246" spans="1:8" ht="14" customHeight="1" x14ac:dyDescent="0.2">
      <c r="A246" t="s">
        <v>2157</v>
      </c>
      <c r="B246" t="s">
        <v>3357</v>
      </c>
      <c r="C246" t="s">
        <v>2974</v>
      </c>
      <c r="E246" t="s">
        <v>468</v>
      </c>
      <c r="F246" t="s">
        <v>4628</v>
      </c>
      <c r="G246" t="s">
        <v>469</v>
      </c>
      <c r="H246" t="s">
        <v>4627</v>
      </c>
    </row>
    <row r="247" spans="1:8" ht="14" customHeight="1" x14ac:dyDescent="0.2">
      <c r="A247" t="s">
        <v>2158</v>
      </c>
      <c r="B247" t="s">
        <v>3358</v>
      </c>
      <c r="E247" t="s">
        <v>470</v>
      </c>
      <c r="F247" t="s">
        <v>4630</v>
      </c>
      <c r="G247" t="s">
        <v>471</v>
      </c>
      <c r="H247" t="s">
        <v>4629</v>
      </c>
    </row>
    <row r="248" spans="1:8" ht="14" customHeight="1" x14ac:dyDescent="0.2">
      <c r="E248" t="s">
        <v>472</v>
      </c>
      <c r="F248" t="s">
        <v>4632</v>
      </c>
      <c r="G248" t="s">
        <v>473</v>
      </c>
      <c r="H248" t="s">
        <v>4631</v>
      </c>
    </row>
    <row r="249" spans="1:8" ht="14" customHeight="1" x14ac:dyDescent="0.2">
      <c r="A249" t="s">
        <v>2159</v>
      </c>
      <c r="B249" t="s">
        <v>3359</v>
      </c>
      <c r="C249" t="s">
        <v>2975</v>
      </c>
      <c r="D249" t="s">
        <v>3994</v>
      </c>
      <c r="E249" s="1" t="s">
        <v>474</v>
      </c>
      <c r="F249" t="s">
        <v>4634</v>
      </c>
      <c r="G249" s="1" t="s">
        <v>475</v>
      </c>
      <c r="H249" t="s">
        <v>4633</v>
      </c>
    </row>
    <row r="250" spans="1:8" ht="14" customHeight="1" x14ac:dyDescent="0.2">
      <c r="A250" t="s">
        <v>2160</v>
      </c>
      <c r="B250" t="s">
        <v>3360</v>
      </c>
      <c r="E250" t="s">
        <v>476</v>
      </c>
      <c r="F250" t="s">
        <v>4636</v>
      </c>
      <c r="G250" t="s">
        <v>477</v>
      </c>
      <c r="H250" t="s">
        <v>4635</v>
      </c>
    </row>
    <row r="251" spans="1:8" ht="14" customHeight="1" x14ac:dyDescent="0.2">
      <c r="A251" t="s">
        <v>2161</v>
      </c>
      <c r="B251" t="s">
        <v>3361</v>
      </c>
      <c r="E251" s="1" t="s">
        <v>478</v>
      </c>
      <c r="F251" t="s">
        <v>4638</v>
      </c>
      <c r="G251" s="1" t="s">
        <v>479</v>
      </c>
      <c r="H251" t="s">
        <v>4637</v>
      </c>
    </row>
    <row r="252" spans="1:8" ht="14" customHeight="1" x14ac:dyDescent="0.2">
      <c r="A252" t="s">
        <v>2162</v>
      </c>
      <c r="B252" t="s">
        <v>3362</v>
      </c>
      <c r="C252" t="s">
        <v>2976</v>
      </c>
      <c r="E252" s="1" t="s">
        <v>480</v>
      </c>
      <c r="F252" t="s">
        <v>4640</v>
      </c>
      <c r="G252" s="1" t="s">
        <v>481</v>
      </c>
      <c r="H252" t="s">
        <v>4639</v>
      </c>
    </row>
    <row r="253" spans="1:8" ht="14" customHeight="1" x14ac:dyDescent="0.2">
      <c r="A253" t="s">
        <v>2163</v>
      </c>
      <c r="B253" t="s">
        <v>2163</v>
      </c>
      <c r="C253" t="s">
        <v>2977</v>
      </c>
      <c r="D253" t="s">
        <v>3995</v>
      </c>
      <c r="E253" t="s">
        <v>482</v>
      </c>
      <c r="F253" t="s">
        <v>4642</v>
      </c>
      <c r="G253" t="s">
        <v>483</v>
      </c>
      <c r="H253" t="s">
        <v>4641</v>
      </c>
    </row>
    <row r="254" spans="1:8" ht="14" customHeight="1" x14ac:dyDescent="0.2">
      <c r="A254" t="s">
        <v>2164</v>
      </c>
      <c r="B254" t="s">
        <v>3363</v>
      </c>
      <c r="C254" t="s">
        <v>2978</v>
      </c>
      <c r="D254" t="s">
        <v>3996</v>
      </c>
      <c r="E254" t="s">
        <v>484</v>
      </c>
      <c r="F254" t="s">
        <v>4644</v>
      </c>
      <c r="G254" t="s">
        <v>485</v>
      </c>
      <c r="H254" t="s">
        <v>4643</v>
      </c>
    </row>
    <row r="255" spans="1:8" ht="14" customHeight="1" x14ac:dyDescent="0.2">
      <c r="A255" t="s">
        <v>2165</v>
      </c>
      <c r="B255" t="s">
        <v>2165</v>
      </c>
      <c r="C255" t="s">
        <v>2979</v>
      </c>
      <c r="E255" t="s">
        <v>486</v>
      </c>
      <c r="F255" t="s">
        <v>4646</v>
      </c>
      <c r="G255" t="s">
        <v>5986</v>
      </c>
      <c r="H255" t="s">
        <v>4645</v>
      </c>
    </row>
    <row r="256" spans="1:8" ht="14" customHeight="1" x14ac:dyDescent="0.2">
      <c r="A256" t="s">
        <v>2166</v>
      </c>
      <c r="B256" t="s">
        <v>3364</v>
      </c>
      <c r="E256" t="s">
        <v>487</v>
      </c>
      <c r="F256" t="s">
        <v>4647</v>
      </c>
      <c r="G256" t="s">
        <v>488</v>
      </c>
    </row>
    <row r="257" spans="1:8" ht="14" customHeight="1" x14ac:dyDescent="0.2">
      <c r="A257" t="s">
        <v>2167</v>
      </c>
      <c r="E257" t="s">
        <v>489</v>
      </c>
      <c r="F257" t="s">
        <v>4649</v>
      </c>
      <c r="G257" t="s">
        <v>490</v>
      </c>
      <c r="H257" t="s">
        <v>4648</v>
      </c>
    </row>
    <row r="258" spans="1:8" ht="14" customHeight="1" x14ac:dyDescent="0.2">
      <c r="A258" t="s">
        <v>2168</v>
      </c>
      <c r="B258" t="s">
        <v>3365</v>
      </c>
      <c r="E258" t="s">
        <v>491</v>
      </c>
      <c r="F258" t="s">
        <v>4651</v>
      </c>
      <c r="G258" t="s">
        <v>492</v>
      </c>
      <c r="H258" t="s">
        <v>4650</v>
      </c>
    </row>
    <row r="259" spans="1:8" ht="14" customHeight="1" x14ac:dyDescent="0.2">
      <c r="A259" t="s">
        <v>2169</v>
      </c>
      <c r="B259" t="s">
        <v>3366</v>
      </c>
      <c r="C259" t="s">
        <v>2980</v>
      </c>
      <c r="D259" t="s">
        <v>3997</v>
      </c>
      <c r="E259" s="1" t="s">
        <v>493</v>
      </c>
      <c r="F259" t="s">
        <v>4653</v>
      </c>
      <c r="G259" t="s">
        <v>494</v>
      </c>
      <c r="H259" t="s">
        <v>4652</v>
      </c>
    </row>
    <row r="260" spans="1:8" ht="14" customHeight="1" x14ac:dyDescent="0.2">
      <c r="A260" t="s">
        <v>2170</v>
      </c>
      <c r="B260" t="s">
        <v>3367</v>
      </c>
      <c r="C260" t="s">
        <v>2981</v>
      </c>
      <c r="D260" t="s">
        <v>3998</v>
      </c>
      <c r="E260" t="s">
        <v>495</v>
      </c>
      <c r="F260" t="s">
        <v>4655</v>
      </c>
      <c r="G260" t="s">
        <v>496</v>
      </c>
      <c r="H260" t="s">
        <v>4654</v>
      </c>
    </row>
    <row r="261" spans="1:8" ht="14" customHeight="1" x14ac:dyDescent="0.2">
      <c r="A261" t="s">
        <v>2171</v>
      </c>
      <c r="B261" t="s">
        <v>3368</v>
      </c>
      <c r="C261" t="s">
        <v>2982</v>
      </c>
      <c r="D261" t="s">
        <v>3999</v>
      </c>
      <c r="E261" s="1" t="s">
        <v>497</v>
      </c>
      <c r="F261" t="s">
        <v>4657</v>
      </c>
      <c r="G261" t="s">
        <v>498</v>
      </c>
      <c r="H261" t="s">
        <v>4656</v>
      </c>
    </row>
    <row r="262" spans="1:8" ht="14" customHeight="1" x14ac:dyDescent="0.2">
      <c r="A262" t="s">
        <v>2172</v>
      </c>
      <c r="B262" t="s">
        <v>3369</v>
      </c>
      <c r="C262" t="s">
        <v>2983</v>
      </c>
      <c r="D262" t="s">
        <v>4000</v>
      </c>
      <c r="E262" t="s">
        <v>499</v>
      </c>
      <c r="F262" t="s">
        <v>4659</v>
      </c>
      <c r="G262" t="s">
        <v>500</v>
      </c>
      <c r="H262" t="s">
        <v>4658</v>
      </c>
    </row>
    <row r="263" spans="1:8" ht="14" customHeight="1" x14ac:dyDescent="0.2">
      <c r="A263" t="s">
        <v>2173</v>
      </c>
      <c r="B263" t="s">
        <v>3370</v>
      </c>
      <c r="C263" t="s">
        <v>2984</v>
      </c>
      <c r="D263" t="s">
        <v>4001</v>
      </c>
      <c r="E263" t="s">
        <v>501</v>
      </c>
      <c r="F263" t="s">
        <v>4661</v>
      </c>
      <c r="G263" t="s">
        <v>502</v>
      </c>
      <c r="H263" t="s">
        <v>4660</v>
      </c>
    </row>
    <row r="264" spans="1:8" ht="14" customHeight="1" x14ac:dyDescent="0.2">
      <c r="A264" t="s">
        <v>1947</v>
      </c>
      <c r="B264" t="s">
        <v>1947</v>
      </c>
      <c r="C264" t="s">
        <v>2985</v>
      </c>
      <c r="D264" t="s">
        <v>4002</v>
      </c>
      <c r="E264" t="s">
        <v>503</v>
      </c>
      <c r="F264" t="s">
        <v>4663</v>
      </c>
      <c r="G264" t="s">
        <v>504</v>
      </c>
      <c r="H264" t="s">
        <v>4662</v>
      </c>
    </row>
    <row r="265" spans="1:8" ht="14" customHeight="1" x14ac:dyDescent="0.2">
      <c r="A265" t="s">
        <v>2174</v>
      </c>
      <c r="B265" t="s">
        <v>3371</v>
      </c>
      <c r="C265" t="s">
        <v>2986</v>
      </c>
      <c r="D265" t="s">
        <v>4003</v>
      </c>
      <c r="E265" t="s">
        <v>505</v>
      </c>
      <c r="F265" t="s">
        <v>4665</v>
      </c>
      <c r="G265" t="s">
        <v>506</v>
      </c>
      <c r="H265" t="s">
        <v>4664</v>
      </c>
    </row>
    <row r="266" spans="1:8" ht="14" customHeight="1" x14ac:dyDescent="0.2">
      <c r="A266" t="s">
        <v>2175</v>
      </c>
      <c r="B266" t="s">
        <v>3372</v>
      </c>
      <c r="E266" t="s">
        <v>507</v>
      </c>
      <c r="F266" t="s">
        <v>4667</v>
      </c>
      <c r="G266" t="s">
        <v>508</v>
      </c>
      <c r="H266" t="s">
        <v>4666</v>
      </c>
    </row>
    <row r="267" spans="1:8" ht="14" customHeight="1" x14ac:dyDescent="0.2">
      <c r="A267" t="s">
        <v>2176</v>
      </c>
      <c r="B267" t="s">
        <v>3373</v>
      </c>
      <c r="C267" t="s">
        <v>2987</v>
      </c>
      <c r="D267" t="s">
        <v>4004</v>
      </c>
      <c r="E267" t="s">
        <v>509</v>
      </c>
      <c r="F267" t="s">
        <v>4669</v>
      </c>
      <c r="G267" t="s">
        <v>510</v>
      </c>
      <c r="H267" t="s">
        <v>4668</v>
      </c>
    </row>
    <row r="268" spans="1:8" ht="14" customHeight="1" x14ac:dyDescent="0.2">
      <c r="A268" t="s">
        <v>2177</v>
      </c>
      <c r="B268" t="s">
        <v>3374</v>
      </c>
      <c r="E268" t="s">
        <v>511</v>
      </c>
      <c r="F268" t="s">
        <v>4671</v>
      </c>
      <c r="G268" t="s">
        <v>512</v>
      </c>
      <c r="H268" t="s">
        <v>4670</v>
      </c>
    </row>
    <row r="269" spans="1:8" ht="14" customHeight="1" x14ac:dyDescent="0.2">
      <c r="A269" t="s">
        <v>2178</v>
      </c>
      <c r="B269" t="s">
        <v>3375</v>
      </c>
      <c r="C269" t="s">
        <v>2988</v>
      </c>
      <c r="D269" t="s">
        <v>4005</v>
      </c>
      <c r="E269" s="1" t="s">
        <v>513</v>
      </c>
      <c r="F269" t="s">
        <v>4673</v>
      </c>
      <c r="G269" s="1" t="s">
        <v>514</v>
      </c>
      <c r="H269" t="s">
        <v>4672</v>
      </c>
    </row>
    <row r="270" spans="1:8" ht="14" customHeight="1" x14ac:dyDescent="0.2">
      <c r="A270" t="s">
        <v>2179</v>
      </c>
      <c r="B270" t="s">
        <v>3376</v>
      </c>
      <c r="C270" t="s">
        <v>2989</v>
      </c>
      <c r="D270" t="s">
        <v>4006</v>
      </c>
      <c r="E270" t="s">
        <v>515</v>
      </c>
      <c r="F270" t="s">
        <v>4675</v>
      </c>
      <c r="G270" t="s">
        <v>516</v>
      </c>
      <c r="H270" t="s">
        <v>4674</v>
      </c>
    </row>
    <row r="271" spans="1:8" ht="14" customHeight="1" x14ac:dyDescent="0.2">
      <c r="A271" t="s">
        <v>2180</v>
      </c>
      <c r="B271" t="s">
        <v>3377</v>
      </c>
      <c r="C271" t="s">
        <v>2990</v>
      </c>
      <c r="D271" t="s">
        <v>4007</v>
      </c>
      <c r="E271" t="s">
        <v>517</v>
      </c>
      <c r="F271" t="s">
        <v>4677</v>
      </c>
      <c r="G271" t="s">
        <v>518</v>
      </c>
      <c r="H271" t="s">
        <v>4676</v>
      </c>
    </row>
    <row r="272" spans="1:8" ht="14" customHeight="1" x14ac:dyDescent="0.2">
      <c r="A272" t="s">
        <v>2181</v>
      </c>
      <c r="B272" t="s">
        <v>3378</v>
      </c>
      <c r="E272" t="s">
        <v>519</v>
      </c>
      <c r="F272" t="s">
        <v>4679</v>
      </c>
      <c r="G272" t="s">
        <v>520</v>
      </c>
      <c r="H272" t="s">
        <v>4678</v>
      </c>
    </row>
    <row r="273" spans="1:8" ht="14" customHeight="1" x14ac:dyDescent="0.2">
      <c r="A273" t="s">
        <v>2182</v>
      </c>
      <c r="B273" t="s">
        <v>3379</v>
      </c>
      <c r="C273" t="s">
        <v>2991</v>
      </c>
      <c r="D273" t="s">
        <v>4008</v>
      </c>
      <c r="E273" s="1" t="s">
        <v>521</v>
      </c>
      <c r="F273" t="s">
        <v>4681</v>
      </c>
      <c r="G273" t="s">
        <v>522</v>
      </c>
      <c r="H273" t="s">
        <v>4680</v>
      </c>
    </row>
    <row r="274" spans="1:8" ht="14" customHeight="1" x14ac:dyDescent="0.2">
      <c r="A274" t="s">
        <v>2183</v>
      </c>
      <c r="B274" t="s">
        <v>3380</v>
      </c>
      <c r="C274" t="s">
        <v>2992</v>
      </c>
      <c r="D274" t="s">
        <v>4009</v>
      </c>
      <c r="E274" t="s">
        <v>523</v>
      </c>
      <c r="F274" t="s">
        <v>4683</v>
      </c>
      <c r="G274" t="s">
        <v>524</v>
      </c>
      <c r="H274" t="s">
        <v>4682</v>
      </c>
    </row>
    <row r="275" spans="1:8" ht="14" customHeight="1" x14ac:dyDescent="0.2">
      <c r="A275" t="s">
        <v>2184</v>
      </c>
      <c r="B275" t="s">
        <v>3381</v>
      </c>
      <c r="E275" t="s">
        <v>525</v>
      </c>
      <c r="F275" t="s">
        <v>4685</v>
      </c>
      <c r="G275" t="s">
        <v>526</v>
      </c>
      <c r="H275" t="s">
        <v>4684</v>
      </c>
    </row>
    <row r="276" spans="1:8" ht="14" customHeight="1" x14ac:dyDescent="0.2">
      <c r="A276" t="s">
        <v>2185</v>
      </c>
      <c r="B276" t="s">
        <v>3382</v>
      </c>
      <c r="C276" t="s">
        <v>2993</v>
      </c>
      <c r="D276" t="s">
        <v>4010</v>
      </c>
      <c r="E276" t="s">
        <v>527</v>
      </c>
      <c r="F276" t="s">
        <v>4687</v>
      </c>
      <c r="G276" t="s">
        <v>528</v>
      </c>
      <c r="H276" t="s">
        <v>4686</v>
      </c>
    </row>
    <row r="277" spans="1:8" ht="14" customHeight="1" x14ac:dyDescent="0.2">
      <c r="A277" t="s">
        <v>2186</v>
      </c>
      <c r="B277" t="s">
        <v>3383</v>
      </c>
      <c r="C277" t="s">
        <v>2994</v>
      </c>
      <c r="D277" t="s">
        <v>4011</v>
      </c>
      <c r="E277" t="s">
        <v>529</v>
      </c>
      <c r="F277" t="s">
        <v>4689</v>
      </c>
      <c r="G277" t="s">
        <v>530</v>
      </c>
      <c r="H277" t="s">
        <v>4688</v>
      </c>
    </row>
    <row r="278" spans="1:8" ht="14" customHeight="1" x14ac:dyDescent="0.2">
      <c r="A278" t="s">
        <v>2187</v>
      </c>
      <c r="B278" t="s">
        <v>3384</v>
      </c>
      <c r="C278" t="s">
        <v>2995</v>
      </c>
      <c r="D278" t="s">
        <v>4012</v>
      </c>
      <c r="E278" t="s">
        <v>531</v>
      </c>
      <c r="F278" t="s">
        <v>4691</v>
      </c>
      <c r="G278" t="s">
        <v>532</v>
      </c>
      <c r="H278" t="s">
        <v>4690</v>
      </c>
    </row>
    <row r="279" spans="1:8" ht="14" customHeight="1" x14ac:dyDescent="0.2">
      <c r="A279" t="s">
        <v>2188</v>
      </c>
      <c r="B279" t="s">
        <v>3385</v>
      </c>
      <c r="E279" t="s">
        <v>533</v>
      </c>
      <c r="F279" t="s">
        <v>4692</v>
      </c>
      <c r="G279" t="s">
        <v>534</v>
      </c>
      <c r="H279" t="s">
        <v>532</v>
      </c>
    </row>
    <row r="280" spans="1:8" ht="14" customHeight="1" x14ac:dyDescent="0.2">
      <c r="A280" t="s">
        <v>2148</v>
      </c>
      <c r="B280" t="s">
        <v>3348</v>
      </c>
      <c r="C280" t="s">
        <v>2996</v>
      </c>
      <c r="E280" t="s">
        <v>535</v>
      </c>
      <c r="F280" t="s">
        <v>4694</v>
      </c>
      <c r="G280" t="s">
        <v>536</v>
      </c>
      <c r="H280" t="s">
        <v>4693</v>
      </c>
    </row>
    <row r="281" spans="1:8" ht="14" customHeight="1" x14ac:dyDescent="0.2">
      <c r="A281" t="s">
        <v>2189</v>
      </c>
      <c r="B281" t="s">
        <v>3386</v>
      </c>
      <c r="C281" t="s">
        <v>2997</v>
      </c>
      <c r="D281" t="s">
        <v>4013</v>
      </c>
      <c r="E281" t="s">
        <v>537</v>
      </c>
      <c r="F281" t="s">
        <v>4696</v>
      </c>
      <c r="G281" t="s">
        <v>538</v>
      </c>
      <c r="H281" t="s">
        <v>4695</v>
      </c>
    </row>
    <row r="282" spans="1:8" ht="14" customHeight="1" x14ac:dyDescent="0.2">
      <c r="A282" t="s">
        <v>2190</v>
      </c>
      <c r="B282" t="s">
        <v>3387</v>
      </c>
      <c r="C282" t="s">
        <v>2998</v>
      </c>
      <c r="D282" t="s">
        <v>4014</v>
      </c>
      <c r="E282" t="s">
        <v>539</v>
      </c>
      <c r="F282" t="s">
        <v>4698</v>
      </c>
      <c r="G282" t="s">
        <v>540</v>
      </c>
      <c r="H282" t="s">
        <v>4697</v>
      </c>
    </row>
    <row r="283" spans="1:8" ht="14" customHeight="1" x14ac:dyDescent="0.2">
      <c r="A283" t="s">
        <v>2191</v>
      </c>
      <c r="B283" t="s">
        <v>2191</v>
      </c>
      <c r="E283" t="s">
        <v>541</v>
      </c>
      <c r="F283" t="s">
        <v>4699</v>
      </c>
      <c r="G283" t="s">
        <v>542</v>
      </c>
      <c r="H283" t="s">
        <v>4014</v>
      </c>
    </row>
    <row r="284" spans="1:8" ht="14" customHeight="1" x14ac:dyDescent="0.2">
      <c r="A284" t="s">
        <v>1964</v>
      </c>
      <c r="E284" t="s">
        <v>543</v>
      </c>
      <c r="F284" t="s">
        <v>4701</v>
      </c>
      <c r="G284" t="s">
        <v>544</v>
      </c>
      <c r="H284" t="s">
        <v>4700</v>
      </c>
    </row>
    <row r="285" spans="1:8" ht="14" customHeight="1" x14ac:dyDescent="0.2">
      <c r="A285" s="1" t="s">
        <v>2192</v>
      </c>
      <c r="B285" t="s">
        <v>3388</v>
      </c>
      <c r="E285" t="s">
        <v>545</v>
      </c>
      <c r="F285" t="s">
        <v>4703</v>
      </c>
      <c r="G285" t="s">
        <v>546</v>
      </c>
      <c r="H285" t="s">
        <v>4702</v>
      </c>
    </row>
    <row r="286" spans="1:8" ht="14" customHeight="1" x14ac:dyDescent="0.2">
      <c r="A286" t="s">
        <v>2193</v>
      </c>
      <c r="B286" t="s">
        <v>3389</v>
      </c>
      <c r="E286" t="s">
        <v>547</v>
      </c>
      <c r="F286" t="s">
        <v>4705</v>
      </c>
      <c r="G286" t="s">
        <v>548</v>
      </c>
      <c r="H286" t="s">
        <v>4704</v>
      </c>
    </row>
    <row r="287" spans="1:8" ht="14" customHeight="1" x14ac:dyDescent="0.2">
      <c r="A287" t="s">
        <v>2194</v>
      </c>
      <c r="B287" t="s">
        <v>3390</v>
      </c>
      <c r="E287" s="1" t="s">
        <v>549</v>
      </c>
      <c r="F287" t="s">
        <v>4707</v>
      </c>
      <c r="G287" s="1" t="s">
        <v>5987</v>
      </c>
      <c r="H287" t="s">
        <v>4706</v>
      </c>
    </row>
    <row r="288" spans="1:8" ht="14" customHeight="1" x14ac:dyDescent="0.2">
      <c r="A288" t="s">
        <v>2195</v>
      </c>
      <c r="B288" t="s">
        <v>3391</v>
      </c>
      <c r="E288" t="e">
        <f>- De-risked environment For inexperienced people, who want to company a sort-of company building with some job predictability
- Smart and multi-cultural mix of entrepreneurs in residence
- Potential to acquire important lessons on how not to build a Startup and where your resilience limits lie</f>
        <v>#NAME?</v>
      </c>
      <c r="F288" t="s">
        <v>4709</v>
      </c>
      <c r="G288" t="e">
        <f>- Manipulative and non-transparent exec team
- Micromanagement of the extended core-team members towards inexperienced teams
- the Potential return on your investment and deferred salary losses makes No sense in the Long-term
- Extreme turn-around and employee churn due to the toxic culture. people are treated as if they were Easy-to-discard resources</f>
        <v>#NAME?</v>
      </c>
      <c r="H288" t="s">
        <v>4708</v>
      </c>
    </row>
    <row r="289" spans="1:8" ht="14" customHeight="1" x14ac:dyDescent="0.2">
      <c r="A289" t="s">
        <v>2196</v>
      </c>
      <c r="B289" t="s">
        <v>3392</v>
      </c>
      <c r="C289" s="1" t="s">
        <v>2999</v>
      </c>
      <c r="D289" t="s">
        <v>4015</v>
      </c>
      <c r="E289" t="s">
        <v>550</v>
      </c>
      <c r="F289" t="s">
        <v>4711</v>
      </c>
      <c r="G289" t="s">
        <v>551</v>
      </c>
      <c r="H289" t="s">
        <v>4710</v>
      </c>
    </row>
    <row r="290" spans="1:8" ht="14" customHeight="1" x14ac:dyDescent="0.2">
      <c r="A290" t="s">
        <v>2197</v>
      </c>
      <c r="B290" t="s">
        <v>3393</v>
      </c>
      <c r="C290" t="s">
        <v>3000</v>
      </c>
      <c r="E290" t="s">
        <v>552</v>
      </c>
      <c r="F290" t="s">
        <v>4713</v>
      </c>
      <c r="G290" t="s">
        <v>5988</v>
      </c>
      <c r="H290" t="s">
        <v>4712</v>
      </c>
    </row>
    <row r="291" spans="1:8" ht="14" customHeight="1" x14ac:dyDescent="0.2">
      <c r="A291" t="s">
        <v>2198</v>
      </c>
      <c r="B291" t="s">
        <v>3394</v>
      </c>
      <c r="E291" t="s">
        <v>553</v>
      </c>
      <c r="F291" t="s">
        <v>4714</v>
      </c>
      <c r="G291" s="1" t="s">
        <v>554</v>
      </c>
    </row>
    <row r="292" spans="1:8" ht="14" customHeight="1" x14ac:dyDescent="0.2">
      <c r="A292" t="s">
        <v>2199</v>
      </c>
      <c r="B292" t="s">
        <v>3395</v>
      </c>
      <c r="E292" t="s">
        <v>555</v>
      </c>
      <c r="F292" t="s">
        <v>4716</v>
      </c>
      <c r="G292" s="1" t="s">
        <v>556</v>
      </c>
      <c r="H292" t="s">
        <v>4715</v>
      </c>
    </row>
    <row r="293" spans="1:8" ht="14" customHeight="1" x14ac:dyDescent="0.2">
      <c r="A293" t="s">
        <v>2200</v>
      </c>
      <c r="B293" t="s">
        <v>3396</v>
      </c>
      <c r="E293" t="s">
        <v>557</v>
      </c>
      <c r="F293" t="s">
        <v>4718</v>
      </c>
      <c r="G293" t="s">
        <v>558</v>
      </c>
      <c r="H293" t="s">
        <v>4717</v>
      </c>
    </row>
    <row r="294" spans="1:8" ht="14" customHeight="1" x14ac:dyDescent="0.2">
      <c r="A294" t="s">
        <v>2201</v>
      </c>
      <c r="B294" t="s">
        <v>2201</v>
      </c>
      <c r="E294" t="s">
        <v>559</v>
      </c>
      <c r="F294" t="s">
        <v>4720</v>
      </c>
      <c r="G294" s="1" t="s">
        <v>560</v>
      </c>
      <c r="H294" t="s">
        <v>4719</v>
      </c>
    </row>
    <row r="295" spans="1:8" ht="14" customHeight="1" x14ac:dyDescent="0.2">
      <c r="A295" t="s">
        <v>2202</v>
      </c>
      <c r="B295" t="s">
        <v>3397</v>
      </c>
      <c r="C295" t="s">
        <v>3001</v>
      </c>
      <c r="D295" t="s">
        <v>4016</v>
      </c>
      <c r="E295" t="s">
        <v>561</v>
      </c>
      <c r="F295" t="s">
        <v>4722</v>
      </c>
      <c r="G295" t="s">
        <v>5989</v>
      </c>
      <c r="H295" t="s">
        <v>4721</v>
      </c>
    </row>
    <row r="296" spans="1:8" ht="14" customHeight="1" x14ac:dyDescent="0.2">
      <c r="A296" t="s">
        <v>2203</v>
      </c>
      <c r="B296" t="s">
        <v>3301</v>
      </c>
      <c r="E296" t="s">
        <v>562</v>
      </c>
      <c r="G296" t="s">
        <v>563</v>
      </c>
    </row>
    <row r="297" spans="1:8" ht="14" customHeight="1" x14ac:dyDescent="0.2">
      <c r="A297" t="s">
        <v>2204</v>
      </c>
      <c r="B297" t="s">
        <v>3398</v>
      </c>
      <c r="E297" t="s">
        <v>564</v>
      </c>
      <c r="F297" t="s">
        <v>4723</v>
      </c>
      <c r="G297" t="s">
        <v>565</v>
      </c>
      <c r="H297" t="s">
        <v>565</v>
      </c>
    </row>
    <row r="298" spans="1:8" ht="14" customHeight="1" x14ac:dyDescent="0.2">
      <c r="A298" t="s">
        <v>2205</v>
      </c>
      <c r="B298" t="s">
        <v>3399</v>
      </c>
      <c r="E298" s="1" t="s">
        <v>566</v>
      </c>
      <c r="F298" t="s">
        <v>4724</v>
      </c>
      <c r="G298" t="s">
        <v>567</v>
      </c>
      <c r="H298" t="s">
        <v>567</v>
      </c>
    </row>
    <row r="299" spans="1:8" ht="14" customHeight="1" x14ac:dyDescent="0.2">
      <c r="A299" t="s">
        <v>2206</v>
      </c>
      <c r="C299" t="s">
        <v>3002</v>
      </c>
      <c r="E299" s="1" t="s">
        <v>568</v>
      </c>
      <c r="F299" t="s">
        <v>4725</v>
      </c>
      <c r="G299" s="1" t="s">
        <v>569</v>
      </c>
      <c r="H299" s="1" t="s">
        <v>569</v>
      </c>
    </row>
    <row r="300" spans="1:8" ht="14" customHeight="1" x14ac:dyDescent="0.2">
      <c r="A300" t="s">
        <v>2207</v>
      </c>
      <c r="B300" t="s">
        <v>3400</v>
      </c>
      <c r="E300" t="s">
        <v>570</v>
      </c>
      <c r="F300" t="s">
        <v>4726</v>
      </c>
      <c r="G300" t="s">
        <v>571</v>
      </c>
      <c r="H300" t="s">
        <v>571</v>
      </c>
    </row>
    <row r="301" spans="1:8" ht="14" customHeight="1" x14ac:dyDescent="0.2">
      <c r="A301" t="s">
        <v>2208</v>
      </c>
      <c r="B301" t="s">
        <v>3401</v>
      </c>
      <c r="C301" t="s">
        <v>3003</v>
      </c>
      <c r="D301" t="s">
        <v>4017</v>
      </c>
      <c r="E301" t="s">
        <v>572</v>
      </c>
      <c r="F301" t="s">
        <v>4727</v>
      </c>
      <c r="G301" t="s">
        <v>573</v>
      </c>
      <c r="H301" t="s">
        <v>573</v>
      </c>
    </row>
    <row r="302" spans="1:8" ht="14" customHeight="1" x14ac:dyDescent="0.2">
      <c r="A302" t="s">
        <v>2209</v>
      </c>
      <c r="B302" t="s">
        <v>3402</v>
      </c>
      <c r="E302" t="s">
        <v>574</v>
      </c>
      <c r="F302" t="s">
        <v>4728</v>
      </c>
      <c r="G302" t="s">
        <v>575</v>
      </c>
      <c r="H302" t="s">
        <v>575</v>
      </c>
    </row>
    <row r="303" spans="1:8" ht="14" customHeight="1" x14ac:dyDescent="0.2">
      <c r="A303" t="s">
        <v>2210</v>
      </c>
      <c r="B303" t="s">
        <v>3403</v>
      </c>
      <c r="E303" t="s">
        <v>576</v>
      </c>
      <c r="F303" t="s">
        <v>576</v>
      </c>
      <c r="G303" t="s">
        <v>577</v>
      </c>
      <c r="H303" t="s">
        <v>577</v>
      </c>
    </row>
    <row r="304" spans="1:8" ht="14" customHeight="1" x14ac:dyDescent="0.2">
      <c r="A304" t="s">
        <v>2211</v>
      </c>
      <c r="B304" t="s">
        <v>3404</v>
      </c>
      <c r="E304" t="s">
        <v>578</v>
      </c>
      <c r="F304" t="s">
        <v>4729</v>
      </c>
      <c r="G304" t="s">
        <v>579</v>
      </c>
      <c r="H304" t="s">
        <v>579</v>
      </c>
    </row>
    <row r="305" spans="1:8" ht="14" customHeight="1" x14ac:dyDescent="0.2">
      <c r="A305" s="3" t="s">
        <v>2212</v>
      </c>
      <c r="B305" s="3" t="s">
        <v>2212</v>
      </c>
      <c r="C305" t="s">
        <v>3004</v>
      </c>
      <c r="E305" t="s">
        <v>580</v>
      </c>
      <c r="F305" t="s">
        <v>580</v>
      </c>
      <c r="G305" t="s">
        <v>581</v>
      </c>
      <c r="H305" t="s">
        <v>581</v>
      </c>
    </row>
    <row r="306" spans="1:8" ht="14" customHeight="1" x14ac:dyDescent="0.2">
      <c r="A306" t="s">
        <v>2213</v>
      </c>
      <c r="B306" t="s">
        <v>3405</v>
      </c>
      <c r="E306" t="s">
        <v>582</v>
      </c>
      <c r="F306" t="s">
        <v>4730</v>
      </c>
      <c r="G306" t="s">
        <v>583</v>
      </c>
      <c r="H306" t="s">
        <v>4731</v>
      </c>
    </row>
    <row r="307" spans="1:8" ht="14" customHeight="1" x14ac:dyDescent="0.2">
      <c r="A307" t="s">
        <v>2214</v>
      </c>
      <c r="B307" t="s">
        <v>3406</v>
      </c>
      <c r="D307" t="s">
        <v>4018</v>
      </c>
      <c r="E307" t="s">
        <v>584</v>
      </c>
      <c r="F307" t="s">
        <v>4732</v>
      </c>
      <c r="G307" t="s">
        <v>585</v>
      </c>
      <c r="H307" t="s">
        <v>4733</v>
      </c>
    </row>
    <row r="308" spans="1:8" ht="14" customHeight="1" x14ac:dyDescent="0.2">
      <c r="A308" t="s">
        <v>2215</v>
      </c>
      <c r="B308" t="s">
        <v>3407</v>
      </c>
      <c r="C308" t="s">
        <v>3005</v>
      </c>
      <c r="E308" s="1" t="s">
        <v>586</v>
      </c>
      <c r="F308" t="s">
        <v>4734</v>
      </c>
      <c r="G308" s="1" t="s">
        <v>587</v>
      </c>
      <c r="H308" t="s">
        <v>4735</v>
      </c>
    </row>
    <row r="309" spans="1:8" ht="14" customHeight="1" x14ac:dyDescent="0.2">
      <c r="A309" t="s">
        <v>2216</v>
      </c>
      <c r="B309" t="s">
        <v>3408</v>
      </c>
      <c r="E309" s="1" t="s">
        <v>588</v>
      </c>
      <c r="F309" t="s">
        <v>4736</v>
      </c>
      <c r="G309" s="1" t="s">
        <v>589</v>
      </c>
      <c r="H309" t="s">
        <v>4737</v>
      </c>
    </row>
    <row r="310" spans="1:8" ht="14" customHeight="1" x14ac:dyDescent="0.2">
      <c r="A310" t="s">
        <v>2217</v>
      </c>
      <c r="B310" t="s">
        <v>3409</v>
      </c>
      <c r="E310" t="s">
        <v>590</v>
      </c>
      <c r="F310" t="s">
        <v>4738</v>
      </c>
      <c r="G310" t="s">
        <v>591</v>
      </c>
      <c r="H310" t="s">
        <v>4739</v>
      </c>
    </row>
    <row r="311" spans="1:8" ht="14" customHeight="1" x14ac:dyDescent="0.2">
      <c r="A311" t="s">
        <v>2218</v>
      </c>
      <c r="B311" t="s">
        <v>3410</v>
      </c>
      <c r="E311" s="1" t="s">
        <v>592</v>
      </c>
      <c r="F311" t="s">
        <v>4740</v>
      </c>
      <c r="G311" s="1" t="s">
        <v>593</v>
      </c>
      <c r="H311" t="s">
        <v>4741</v>
      </c>
    </row>
    <row r="312" spans="1:8" ht="14" customHeight="1" x14ac:dyDescent="0.2">
      <c r="A312" t="s">
        <v>2121</v>
      </c>
      <c r="B312" t="s">
        <v>3325</v>
      </c>
      <c r="E312" t="s">
        <v>594</v>
      </c>
      <c r="F312" t="s">
        <v>4742</v>
      </c>
      <c r="G312" t="s">
        <v>595</v>
      </c>
      <c r="H312" t="s">
        <v>595</v>
      </c>
    </row>
    <row r="313" spans="1:8" ht="14" customHeight="1" x14ac:dyDescent="0.2">
      <c r="A313" t="s">
        <v>2219</v>
      </c>
      <c r="B313" t="s">
        <v>3411</v>
      </c>
      <c r="E313" t="s">
        <v>596</v>
      </c>
      <c r="F313" t="s">
        <v>4743</v>
      </c>
      <c r="G313" s="1" t="s">
        <v>597</v>
      </c>
      <c r="H313" t="s">
        <v>4744</v>
      </c>
    </row>
    <row r="314" spans="1:8" ht="14" customHeight="1" x14ac:dyDescent="0.2">
      <c r="A314" t="s">
        <v>2220</v>
      </c>
      <c r="B314" t="s">
        <v>3412</v>
      </c>
      <c r="E314" t="s">
        <v>598</v>
      </c>
      <c r="F314" t="s">
        <v>4745</v>
      </c>
      <c r="G314" t="s">
        <v>599</v>
      </c>
      <c r="H314" t="s">
        <v>4746</v>
      </c>
    </row>
    <row r="315" spans="1:8" ht="14" customHeight="1" x14ac:dyDescent="0.2">
      <c r="A315" t="s">
        <v>2221</v>
      </c>
      <c r="B315" t="s">
        <v>3413</v>
      </c>
      <c r="E315" t="s">
        <v>600</v>
      </c>
      <c r="F315" t="s">
        <v>4747</v>
      </c>
      <c r="G315" t="s">
        <v>601</v>
      </c>
      <c r="H315" t="s">
        <v>4748</v>
      </c>
    </row>
    <row r="316" spans="1:8" ht="14" customHeight="1" x14ac:dyDescent="0.2">
      <c r="A316" t="s">
        <v>2222</v>
      </c>
      <c r="B316" t="s">
        <v>3414</v>
      </c>
      <c r="E316" t="s">
        <v>602</v>
      </c>
      <c r="F316" t="s">
        <v>4749</v>
      </c>
      <c r="G316" t="s">
        <v>603</v>
      </c>
      <c r="H316" t="s">
        <v>4750</v>
      </c>
    </row>
    <row r="317" spans="1:8" ht="14" customHeight="1" x14ac:dyDescent="0.2">
      <c r="A317" t="s">
        <v>2223</v>
      </c>
      <c r="B317" t="s">
        <v>3415</v>
      </c>
      <c r="E317" t="s">
        <v>604</v>
      </c>
      <c r="F317" t="s">
        <v>4751</v>
      </c>
      <c r="G317" t="s">
        <v>605</v>
      </c>
      <c r="H317" t="s">
        <v>4752</v>
      </c>
    </row>
    <row r="318" spans="1:8" ht="14" customHeight="1" x14ac:dyDescent="0.2">
      <c r="A318" t="s">
        <v>2224</v>
      </c>
      <c r="B318" t="s">
        <v>3416</v>
      </c>
      <c r="E318" t="e">
        <f>-it was a paycheck and you got paid on time.
-had some flexibility to work from home during Covid-19</f>
        <v>#NAME?</v>
      </c>
      <c r="F318" t="s">
        <v>4753</v>
      </c>
      <c r="G318" t="e">
        <f>-lack of leadership.
-Management is a joke.</f>
        <v>#NAME?</v>
      </c>
      <c r="H318" t="s">
        <v>4754</v>
      </c>
    </row>
    <row r="319" spans="1:8" ht="14" customHeight="1" x14ac:dyDescent="0.2">
      <c r="A319" t="s">
        <v>2225</v>
      </c>
      <c r="B319" t="s">
        <v>3417</v>
      </c>
      <c r="E319" t="s">
        <v>606</v>
      </c>
      <c r="F319" t="s">
        <v>4755</v>
      </c>
      <c r="G319" t="s">
        <v>607</v>
      </c>
      <c r="H319" t="s">
        <v>4756</v>
      </c>
    </row>
    <row r="320" spans="1:8" ht="14" customHeight="1" x14ac:dyDescent="0.2">
      <c r="A320" t="s">
        <v>2226</v>
      </c>
      <c r="B320" t="s">
        <v>3418</v>
      </c>
      <c r="E320" t="s">
        <v>608</v>
      </c>
      <c r="F320" t="s">
        <v>4757</v>
      </c>
      <c r="G320" s="1" t="s">
        <v>609</v>
      </c>
      <c r="H320" t="s">
        <v>4758</v>
      </c>
    </row>
    <row r="321" spans="1:8" ht="14" customHeight="1" x14ac:dyDescent="0.2">
      <c r="A321" t="s">
        <v>2227</v>
      </c>
      <c r="B321" t="s">
        <v>2227</v>
      </c>
      <c r="E321" t="s">
        <v>610</v>
      </c>
      <c r="G321" t="s">
        <v>611</v>
      </c>
      <c r="H321" t="s">
        <v>4759</v>
      </c>
    </row>
    <row r="322" spans="1:8" ht="14" customHeight="1" x14ac:dyDescent="0.2">
      <c r="A322" t="s">
        <v>2228</v>
      </c>
      <c r="B322" t="s">
        <v>3419</v>
      </c>
      <c r="E322" t="s">
        <v>612</v>
      </c>
      <c r="F322" t="s">
        <v>4760</v>
      </c>
      <c r="G322" t="s">
        <v>613</v>
      </c>
      <c r="H322" t="s">
        <v>4761</v>
      </c>
    </row>
    <row r="323" spans="1:8" ht="14" customHeight="1" x14ac:dyDescent="0.2">
      <c r="A323" t="s">
        <v>2229</v>
      </c>
      <c r="B323" t="s">
        <v>3420</v>
      </c>
      <c r="E323" s="1" t="s">
        <v>614</v>
      </c>
      <c r="F323" t="s">
        <v>4762</v>
      </c>
      <c r="G323" s="1" t="s">
        <v>615</v>
      </c>
      <c r="H323" t="s">
        <v>4763</v>
      </c>
    </row>
    <row r="324" spans="1:8" ht="14" customHeight="1" x14ac:dyDescent="0.2">
      <c r="A324" t="s">
        <v>2230</v>
      </c>
      <c r="B324" t="s">
        <v>3421</v>
      </c>
      <c r="E324" t="s">
        <v>616</v>
      </c>
      <c r="F324" t="s">
        <v>4764</v>
      </c>
      <c r="G324" t="s">
        <v>617</v>
      </c>
      <c r="H324" t="s">
        <v>4765</v>
      </c>
    </row>
    <row r="325" spans="1:8" ht="14" customHeight="1" x14ac:dyDescent="0.2">
      <c r="A325" t="s">
        <v>2231</v>
      </c>
      <c r="B325" t="s">
        <v>3422</v>
      </c>
      <c r="C325" t="s">
        <v>3006</v>
      </c>
      <c r="D325" t="s">
        <v>4019</v>
      </c>
      <c r="E325" t="s">
        <v>618</v>
      </c>
      <c r="F325" t="s">
        <v>4766</v>
      </c>
      <c r="G325" t="s">
        <v>619</v>
      </c>
      <c r="H325" t="s">
        <v>4767</v>
      </c>
    </row>
    <row r="326" spans="1:8" ht="14" customHeight="1" x14ac:dyDescent="0.2">
      <c r="A326" t="s">
        <v>2232</v>
      </c>
      <c r="B326" t="s">
        <v>3423</v>
      </c>
      <c r="C326" t="s">
        <v>3007</v>
      </c>
      <c r="D326" t="s">
        <v>4020</v>
      </c>
      <c r="E326" t="s">
        <v>620</v>
      </c>
      <c r="F326" t="s">
        <v>4768</v>
      </c>
      <c r="G326" t="s">
        <v>621</v>
      </c>
      <c r="H326" t="s">
        <v>4769</v>
      </c>
    </row>
    <row r="327" spans="1:8" ht="14" customHeight="1" x14ac:dyDescent="0.2">
      <c r="A327" t="s">
        <v>2233</v>
      </c>
      <c r="B327" t="s">
        <v>3424</v>
      </c>
      <c r="C327" t="s">
        <v>3008</v>
      </c>
      <c r="D327" t="s">
        <v>4021</v>
      </c>
      <c r="E327" s="1" t="s">
        <v>622</v>
      </c>
      <c r="F327" t="s">
        <v>4770</v>
      </c>
      <c r="G327" s="1" t="s">
        <v>623</v>
      </c>
      <c r="H327" t="s">
        <v>4771</v>
      </c>
    </row>
    <row r="328" spans="1:8" ht="14" customHeight="1" x14ac:dyDescent="0.2">
      <c r="A328" t="s">
        <v>2234</v>
      </c>
      <c r="B328" t="s">
        <v>3425</v>
      </c>
      <c r="C328" t="s">
        <v>3009</v>
      </c>
      <c r="D328" t="s">
        <v>4022</v>
      </c>
      <c r="E328" t="s">
        <v>624</v>
      </c>
      <c r="F328" t="s">
        <v>4772</v>
      </c>
      <c r="G328" t="s">
        <v>625</v>
      </c>
      <c r="H328" t="s">
        <v>4773</v>
      </c>
    </row>
    <row r="329" spans="1:8" ht="14" customHeight="1" x14ac:dyDescent="0.2">
      <c r="A329" t="s">
        <v>2235</v>
      </c>
      <c r="B329" t="s">
        <v>3426</v>
      </c>
      <c r="E329" t="s">
        <v>626</v>
      </c>
      <c r="F329" t="s">
        <v>626</v>
      </c>
      <c r="G329" t="s">
        <v>627</v>
      </c>
      <c r="H329" t="s">
        <v>4774</v>
      </c>
    </row>
    <row r="330" spans="1:8" ht="14" customHeight="1" x14ac:dyDescent="0.2">
      <c r="A330" t="s">
        <v>2236</v>
      </c>
      <c r="B330" t="s">
        <v>3427</v>
      </c>
      <c r="E330" t="s">
        <v>628</v>
      </c>
      <c r="F330" t="s">
        <v>4775</v>
      </c>
      <c r="G330" t="s">
        <v>629</v>
      </c>
      <c r="H330" t="s">
        <v>4776</v>
      </c>
    </row>
    <row r="331" spans="1:8" ht="14" customHeight="1" x14ac:dyDescent="0.2">
      <c r="A331" t="s">
        <v>2237</v>
      </c>
      <c r="B331" t="s">
        <v>3428</v>
      </c>
      <c r="E331" s="1" t="s">
        <v>630</v>
      </c>
      <c r="F331" t="s">
        <v>4777</v>
      </c>
      <c r="G331" s="1" t="s">
        <v>631</v>
      </c>
      <c r="H331" t="s">
        <v>4778</v>
      </c>
    </row>
    <row r="332" spans="1:8" ht="14" customHeight="1" x14ac:dyDescent="0.2">
      <c r="A332" t="s">
        <v>2238</v>
      </c>
      <c r="B332" t="s">
        <v>3429</v>
      </c>
      <c r="E332" t="s">
        <v>632</v>
      </c>
      <c r="F332" t="s">
        <v>4779</v>
      </c>
      <c r="G332" t="s">
        <v>633</v>
      </c>
      <c r="H332" t="s">
        <v>633</v>
      </c>
    </row>
    <row r="333" spans="1:8" ht="14" customHeight="1" x14ac:dyDescent="0.2">
      <c r="A333" t="s">
        <v>2239</v>
      </c>
      <c r="B333" t="s">
        <v>3430</v>
      </c>
      <c r="D333" t="s">
        <v>4023</v>
      </c>
      <c r="E333" t="s">
        <v>634</v>
      </c>
      <c r="F333" t="s">
        <v>4780</v>
      </c>
      <c r="G333" t="s">
        <v>635</v>
      </c>
      <c r="H333" t="s">
        <v>4781</v>
      </c>
    </row>
    <row r="334" spans="1:8" ht="14" customHeight="1" x14ac:dyDescent="0.2">
      <c r="A334" t="s">
        <v>2240</v>
      </c>
      <c r="B334" t="s">
        <v>3431</v>
      </c>
      <c r="C334" t="s">
        <v>3010</v>
      </c>
      <c r="D334" t="s">
        <v>4024</v>
      </c>
      <c r="E334" t="s">
        <v>636</v>
      </c>
      <c r="F334" t="s">
        <v>4782</v>
      </c>
      <c r="G334" t="s">
        <v>637</v>
      </c>
      <c r="H334" t="s">
        <v>4783</v>
      </c>
    </row>
    <row r="335" spans="1:8" ht="14" customHeight="1" x14ac:dyDescent="0.2">
      <c r="A335" t="s">
        <v>2241</v>
      </c>
      <c r="B335" t="s">
        <v>3432</v>
      </c>
      <c r="C335" t="s">
        <v>3011</v>
      </c>
      <c r="E335" t="s">
        <v>638</v>
      </c>
      <c r="F335" t="s">
        <v>4784</v>
      </c>
      <c r="G335" t="s">
        <v>639</v>
      </c>
      <c r="H335" t="s">
        <v>4785</v>
      </c>
    </row>
    <row r="336" spans="1:8" ht="14" customHeight="1" x14ac:dyDescent="0.2">
      <c r="A336" t="s">
        <v>1924</v>
      </c>
      <c r="B336" t="s">
        <v>1924</v>
      </c>
      <c r="C336" t="s">
        <v>3012</v>
      </c>
      <c r="E336" t="s">
        <v>640</v>
      </c>
      <c r="F336" t="s">
        <v>640</v>
      </c>
      <c r="G336" t="s">
        <v>641</v>
      </c>
    </row>
    <row r="337" spans="1:8" ht="14" customHeight="1" x14ac:dyDescent="0.2">
      <c r="A337" t="s">
        <v>2242</v>
      </c>
      <c r="B337" t="s">
        <v>3433</v>
      </c>
      <c r="D337" t="s">
        <v>4025</v>
      </c>
      <c r="E337" t="s">
        <v>642</v>
      </c>
      <c r="F337" t="s">
        <v>4786</v>
      </c>
      <c r="G337" t="s">
        <v>643</v>
      </c>
      <c r="H337" t="s">
        <v>4787</v>
      </c>
    </row>
    <row r="338" spans="1:8" ht="14" customHeight="1" x14ac:dyDescent="0.2">
      <c r="A338" t="s">
        <v>2243</v>
      </c>
      <c r="B338" t="s">
        <v>2243</v>
      </c>
      <c r="C338" t="s">
        <v>3013</v>
      </c>
      <c r="D338" t="s">
        <v>4026</v>
      </c>
      <c r="E338" t="s">
        <v>644</v>
      </c>
      <c r="F338" t="s">
        <v>4788</v>
      </c>
      <c r="G338" t="s">
        <v>645</v>
      </c>
      <c r="H338" t="s">
        <v>4789</v>
      </c>
    </row>
    <row r="339" spans="1:8" ht="14" customHeight="1" x14ac:dyDescent="0.2">
      <c r="A339" t="s">
        <v>2244</v>
      </c>
      <c r="B339" t="s">
        <v>2244</v>
      </c>
      <c r="C339" t="s">
        <v>3014</v>
      </c>
      <c r="E339" t="s">
        <v>646</v>
      </c>
      <c r="F339" t="s">
        <v>4790</v>
      </c>
      <c r="G339" t="s">
        <v>647</v>
      </c>
    </row>
    <row r="340" spans="1:8" ht="14" customHeight="1" x14ac:dyDescent="0.2">
      <c r="A340" t="s">
        <v>1962</v>
      </c>
      <c r="B340" t="s">
        <v>1962</v>
      </c>
      <c r="E340" t="s">
        <v>648</v>
      </c>
      <c r="F340" t="s">
        <v>4791</v>
      </c>
      <c r="G340" t="s">
        <v>649</v>
      </c>
    </row>
    <row r="341" spans="1:8" ht="14" customHeight="1" x14ac:dyDescent="0.2">
      <c r="A341" t="s">
        <v>2245</v>
      </c>
      <c r="B341" t="s">
        <v>2245</v>
      </c>
      <c r="C341" t="s">
        <v>3015</v>
      </c>
      <c r="E341" t="s">
        <v>650</v>
      </c>
      <c r="F341" t="s">
        <v>4792</v>
      </c>
      <c r="G341" t="s">
        <v>651</v>
      </c>
    </row>
    <row r="342" spans="1:8" ht="14" customHeight="1" x14ac:dyDescent="0.2">
      <c r="A342" s="3" t="s">
        <v>2246</v>
      </c>
      <c r="B342" s="3" t="s">
        <v>2246</v>
      </c>
      <c r="C342" t="s">
        <v>3016</v>
      </c>
      <c r="E342" t="s">
        <v>652</v>
      </c>
      <c r="F342" t="s">
        <v>4793</v>
      </c>
      <c r="G342" t="s">
        <v>653</v>
      </c>
      <c r="H342" t="s">
        <v>4794</v>
      </c>
    </row>
    <row r="343" spans="1:8" ht="14" customHeight="1" x14ac:dyDescent="0.2">
      <c r="A343" t="s">
        <v>2247</v>
      </c>
      <c r="B343" t="s">
        <v>3434</v>
      </c>
      <c r="C343" t="s">
        <v>3017</v>
      </c>
      <c r="D343" t="s">
        <v>4027</v>
      </c>
      <c r="E343" t="s">
        <v>654</v>
      </c>
      <c r="F343" t="s">
        <v>654</v>
      </c>
      <c r="G343" t="s">
        <v>655</v>
      </c>
      <c r="H343" t="s">
        <v>4795</v>
      </c>
    </row>
    <row r="344" spans="1:8" ht="14" customHeight="1" x14ac:dyDescent="0.2">
      <c r="A344" t="s">
        <v>2248</v>
      </c>
      <c r="B344" t="s">
        <v>3435</v>
      </c>
      <c r="C344" t="s">
        <v>3018</v>
      </c>
      <c r="D344" t="s">
        <v>3018</v>
      </c>
      <c r="E344" t="s">
        <v>656</v>
      </c>
      <c r="F344" t="s">
        <v>4796</v>
      </c>
      <c r="G344" s="1" t="s">
        <v>657</v>
      </c>
      <c r="H344" t="s">
        <v>4797</v>
      </c>
    </row>
    <row r="345" spans="1:8" ht="14" customHeight="1" x14ac:dyDescent="0.2">
      <c r="A345" t="s">
        <v>2249</v>
      </c>
      <c r="B345" t="s">
        <v>3436</v>
      </c>
      <c r="C345" t="s">
        <v>3019</v>
      </c>
      <c r="D345" t="s">
        <v>3019</v>
      </c>
      <c r="E345" t="s">
        <v>658</v>
      </c>
      <c r="F345" t="s">
        <v>4798</v>
      </c>
      <c r="G345" t="s">
        <v>659</v>
      </c>
      <c r="H345" t="s">
        <v>4799</v>
      </c>
    </row>
    <row r="346" spans="1:8" ht="14" customHeight="1" x14ac:dyDescent="0.2">
      <c r="A346" t="s">
        <v>2250</v>
      </c>
      <c r="B346" t="s">
        <v>3437</v>
      </c>
      <c r="C346" t="s">
        <v>3020</v>
      </c>
      <c r="D346" t="s">
        <v>4028</v>
      </c>
      <c r="E346" t="s">
        <v>660</v>
      </c>
      <c r="F346" t="s">
        <v>4800</v>
      </c>
      <c r="G346" t="s">
        <v>661</v>
      </c>
      <c r="H346" t="s">
        <v>4801</v>
      </c>
    </row>
    <row r="347" spans="1:8" ht="14" customHeight="1" x14ac:dyDescent="0.2">
      <c r="A347" t="s">
        <v>2251</v>
      </c>
      <c r="B347" t="s">
        <v>3438</v>
      </c>
      <c r="C347" t="s">
        <v>3021</v>
      </c>
      <c r="D347" t="s">
        <v>4029</v>
      </c>
      <c r="E347" t="s">
        <v>662</v>
      </c>
      <c r="F347" t="s">
        <v>4802</v>
      </c>
      <c r="G347" t="s">
        <v>663</v>
      </c>
      <c r="H347" t="s">
        <v>4803</v>
      </c>
    </row>
    <row r="348" spans="1:8" ht="14" customHeight="1" x14ac:dyDescent="0.2">
      <c r="A348" t="s">
        <v>2252</v>
      </c>
      <c r="B348" t="s">
        <v>3439</v>
      </c>
      <c r="C348" t="s">
        <v>3022</v>
      </c>
      <c r="D348" t="s">
        <v>4030</v>
      </c>
      <c r="E348" t="s">
        <v>664</v>
      </c>
      <c r="F348" t="s">
        <v>4804</v>
      </c>
      <c r="G348" t="s">
        <v>665</v>
      </c>
      <c r="H348" t="s">
        <v>4805</v>
      </c>
    </row>
    <row r="349" spans="1:8" ht="14" customHeight="1" x14ac:dyDescent="0.2">
      <c r="A349" t="s">
        <v>2253</v>
      </c>
      <c r="B349" t="s">
        <v>3440</v>
      </c>
      <c r="E349" t="s">
        <v>666</v>
      </c>
      <c r="F349" t="s">
        <v>4806</v>
      </c>
      <c r="G349" t="s">
        <v>667</v>
      </c>
      <c r="H349" t="s">
        <v>4807</v>
      </c>
    </row>
    <row r="350" spans="1:8" ht="14" customHeight="1" x14ac:dyDescent="0.2">
      <c r="A350" t="s">
        <v>2254</v>
      </c>
      <c r="B350" t="s">
        <v>3441</v>
      </c>
      <c r="C350" t="s">
        <v>3023</v>
      </c>
      <c r="D350" t="s">
        <v>4031</v>
      </c>
      <c r="E350" t="s">
        <v>668</v>
      </c>
      <c r="F350" t="s">
        <v>4808</v>
      </c>
      <c r="G350" t="s">
        <v>669</v>
      </c>
      <c r="H350" t="s">
        <v>4809</v>
      </c>
    </row>
    <row r="351" spans="1:8" ht="14" customHeight="1" x14ac:dyDescent="0.2">
      <c r="A351" t="s">
        <v>2255</v>
      </c>
      <c r="B351" t="s">
        <v>3442</v>
      </c>
      <c r="C351" t="s">
        <v>3024</v>
      </c>
      <c r="D351" t="s">
        <v>4032</v>
      </c>
      <c r="E351" t="s">
        <v>670</v>
      </c>
      <c r="F351" t="s">
        <v>4810</v>
      </c>
      <c r="G351" t="s">
        <v>671</v>
      </c>
      <c r="H351" t="s">
        <v>4811</v>
      </c>
    </row>
    <row r="352" spans="1:8" ht="14" customHeight="1" x14ac:dyDescent="0.2">
      <c r="A352" t="s">
        <v>2256</v>
      </c>
      <c r="B352" t="s">
        <v>3443</v>
      </c>
      <c r="C352" t="s">
        <v>3025</v>
      </c>
      <c r="D352" t="s">
        <v>4033</v>
      </c>
      <c r="E352" t="s">
        <v>672</v>
      </c>
      <c r="F352" t="s">
        <v>672</v>
      </c>
      <c r="G352" t="s">
        <v>673</v>
      </c>
      <c r="H352" t="s">
        <v>4812</v>
      </c>
    </row>
    <row r="353" spans="1:8" ht="14" customHeight="1" x14ac:dyDescent="0.2">
      <c r="A353" t="s">
        <v>2257</v>
      </c>
      <c r="B353" t="s">
        <v>2257</v>
      </c>
      <c r="C353" t="s">
        <v>3026</v>
      </c>
      <c r="D353" t="s">
        <v>3026</v>
      </c>
      <c r="E353" s="1" t="s">
        <v>674</v>
      </c>
      <c r="F353" t="s">
        <v>4813</v>
      </c>
      <c r="G353" s="1" t="s">
        <v>675</v>
      </c>
      <c r="H353" t="s">
        <v>4814</v>
      </c>
    </row>
    <row r="354" spans="1:8" ht="14" customHeight="1" x14ac:dyDescent="0.2">
      <c r="A354" t="s">
        <v>2258</v>
      </c>
      <c r="B354" t="s">
        <v>2258</v>
      </c>
      <c r="E354" s="1" t="s">
        <v>676</v>
      </c>
      <c r="F354" t="s">
        <v>4815</v>
      </c>
      <c r="G354" s="1" t="s">
        <v>677</v>
      </c>
      <c r="H354" t="s">
        <v>4816</v>
      </c>
    </row>
    <row r="355" spans="1:8" ht="14" customHeight="1" x14ac:dyDescent="0.2">
      <c r="A355" t="s">
        <v>2259</v>
      </c>
      <c r="B355" t="s">
        <v>2259</v>
      </c>
      <c r="C355" t="s">
        <v>3027</v>
      </c>
      <c r="D355" t="s">
        <v>3027</v>
      </c>
      <c r="E355" t="s">
        <v>678</v>
      </c>
      <c r="F355" t="s">
        <v>4817</v>
      </c>
      <c r="G355" t="s">
        <v>679</v>
      </c>
      <c r="H355" t="s">
        <v>4818</v>
      </c>
    </row>
    <row r="356" spans="1:8" ht="14" customHeight="1" x14ac:dyDescent="0.2">
      <c r="A356" t="s">
        <v>2260</v>
      </c>
      <c r="B356" t="s">
        <v>2260</v>
      </c>
      <c r="C356" t="s">
        <v>3028</v>
      </c>
      <c r="D356" t="s">
        <v>3028</v>
      </c>
      <c r="E356" t="s">
        <v>680</v>
      </c>
      <c r="F356" t="s">
        <v>680</v>
      </c>
      <c r="G356" t="s">
        <v>681</v>
      </c>
      <c r="H356" t="s">
        <v>4819</v>
      </c>
    </row>
    <row r="357" spans="1:8" ht="14" customHeight="1" x14ac:dyDescent="0.2">
      <c r="A357" t="s">
        <v>2261</v>
      </c>
      <c r="B357" t="s">
        <v>2261</v>
      </c>
      <c r="C357" t="s">
        <v>3029</v>
      </c>
      <c r="D357" t="s">
        <v>4034</v>
      </c>
      <c r="E357" t="s">
        <v>682</v>
      </c>
      <c r="F357" t="s">
        <v>4820</v>
      </c>
      <c r="G357" s="1" t="s">
        <v>683</v>
      </c>
      <c r="H357" t="s">
        <v>4821</v>
      </c>
    </row>
    <row r="358" spans="1:8" ht="14" customHeight="1" x14ac:dyDescent="0.2">
      <c r="A358" t="s">
        <v>2262</v>
      </c>
      <c r="B358" t="s">
        <v>2262</v>
      </c>
      <c r="C358" s="1" t="s">
        <v>3030</v>
      </c>
      <c r="D358" t="s">
        <v>4035</v>
      </c>
      <c r="E358" t="s">
        <v>684</v>
      </c>
      <c r="F358" t="s">
        <v>4822</v>
      </c>
      <c r="G358" s="1" t="s">
        <v>685</v>
      </c>
      <c r="H358" t="s">
        <v>4823</v>
      </c>
    </row>
    <row r="359" spans="1:8" ht="14" customHeight="1" x14ac:dyDescent="0.2">
      <c r="A359" t="s">
        <v>2263</v>
      </c>
      <c r="B359" t="s">
        <v>2263</v>
      </c>
      <c r="C359" t="s">
        <v>3031</v>
      </c>
      <c r="D359" t="s">
        <v>4036</v>
      </c>
      <c r="E359" t="s">
        <v>686</v>
      </c>
      <c r="F359" t="s">
        <v>4824</v>
      </c>
      <c r="G359" t="s">
        <v>687</v>
      </c>
      <c r="H359" t="s">
        <v>4825</v>
      </c>
    </row>
    <row r="360" spans="1:8" ht="14" customHeight="1" x14ac:dyDescent="0.2">
      <c r="A360" t="s">
        <v>2264</v>
      </c>
      <c r="B360" t="s">
        <v>2264</v>
      </c>
      <c r="E360" t="s">
        <v>688</v>
      </c>
      <c r="G360" t="s">
        <v>689</v>
      </c>
      <c r="H360" t="s">
        <v>4826</v>
      </c>
    </row>
    <row r="361" spans="1:8" ht="14" customHeight="1" x14ac:dyDescent="0.2">
      <c r="A361" t="s">
        <v>2265</v>
      </c>
      <c r="B361" t="s">
        <v>2265</v>
      </c>
      <c r="C361" t="s">
        <v>3032</v>
      </c>
      <c r="D361" t="s">
        <v>3032</v>
      </c>
      <c r="E361" t="s">
        <v>690</v>
      </c>
      <c r="F361" t="s">
        <v>690</v>
      </c>
      <c r="G361" t="s">
        <v>691</v>
      </c>
      <c r="H361" t="s">
        <v>4827</v>
      </c>
    </row>
    <row r="362" spans="1:8" ht="14" customHeight="1" x14ac:dyDescent="0.2">
      <c r="A362" t="s">
        <v>2266</v>
      </c>
      <c r="B362" t="s">
        <v>2266</v>
      </c>
      <c r="E362" t="s">
        <v>692</v>
      </c>
      <c r="F362" t="s">
        <v>4828</v>
      </c>
      <c r="G362" t="s">
        <v>693</v>
      </c>
      <c r="H362" t="s">
        <v>4829</v>
      </c>
    </row>
    <row r="363" spans="1:8" ht="14" customHeight="1" x14ac:dyDescent="0.2">
      <c r="A363" t="s">
        <v>2267</v>
      </c>
      <c r="B363" t="s">
        <v>2267</v>
      </c>
      <c r="C363" t="s">
        <v>3033</v>
      </c>
      <c r="D363" t="s">
        <v>3033</v>
      </c>
      <c r="E363" t="s">
        <v>694</v>
      </c>
      <c r="F363" t="s">
        <v>4830</v>
      </c>
      <c r="G363" t="s">
        <v>695</v>
      </c>
      <c r="H363" t="s">
        <v>4831</v>
      </c>
    </row>
    <row r="364" spans="1:8" ht="14" customHeight="1" x14ac:dyDescent="0.2">
      <c r="A364" t="s">
        <v>2268</v>
      </c>
      <c r="B364" t="s">
        <v>2268</v>
      </c>
      <c r="E364" t="s">
        <v>696</v>
      </c>
      <c r="F364" t="s">
        <v>696</v>
      </c>
      <c r="G364" t="s">
        <v>697</v>
      </c>
      <c r="H364" t="s">
        <v>4832</v>
      </c>
    </row>
    <row r="365" spans="1:8" ht="14" customHeight="1" x14ac:dyDescent="0.2">
      <c r="A365" t="s">
        <v>2269</v>
      </c>
      <c r="B365" t="s">
        <v>2269</v>
      </c>
      <c r="E365" t="s">
        <v>698</v>
      </c>
      <c r="F365" t="s">
        <v>4833</v>
      </c>
      <c r="G365" t="s">
        <v>699</v>
      </c>
      <c r="H365" t="s">
        <v>699</v>
      </c>
    </row>
    <row r="366" spans="1:8" ht="14" customHeight="1" x14ac:dyDescent="0.2">
      <c r="A366" t="s">
        <v>2270</v>
      </c>
      <c r="B366" t="s">
        <v>2270</v>
      </c>
      <c r="E366" t="s">
        <v>700</v>
      </c>
      <c r="F366" t="s">
        <v>4834</v>
      </c>
      <c r="G366" t="s">
        <v>701</v>
      </c>
      <c r="H366" t="s">
        <v>4835</v>
      </c>
    </row>
    <row r="367" spans="1:8" ht="14" customHeight="1" x14ac:dyDescent="0.2">
      <c r="A367" t="s">
        <v>2271</v>
      </c>
      <c r="B367" t="s">
        <v>2271</v>
      </c>
      <c r="E367" t="s">
        <v>702</v>
      </c>
      <c r="F367" t="s">
        <v>4836</v>
      </c>
      <c r="G367" t="s">
        <v>703</v>
      </c>
      <c r="H367" t="s">
        <v>703</v>
      </c>
    </row>
    <row r="368" spans="1:8" ht="14" customHeight="1" x14ac:dyDescent="0.2">
      <c r="A368" t="s">
        <v>2272</v>
      </c>
      <c r="B368" t="s">
        <v>3444</v>
      </c>
      <c r="E368" t="s">
        <v>704</v>
      </c>
      <c r="F368" t="s">
        <v>4837</v>
      </c>
      <c r="G368" s="1" t="s">
        <v>705</v>
      </c>
      <c r="H368" t="s">
        <v>4838</v>
      </c>
    </row>
    <row r="369" spans="1:8" ht="14" customHeight="1" x14ac:dyDescent="0.2">
      <c r="A369" t="s">
        <v>2273</v>
      </c>
      <c r="B369" t="s">
        <v>3445</v>
      </c>
      <c r="E369" t="s">
        <v>706</v>
      </c>
      <c r="F369" t="s">
        <v>706</v>
      </c>
      <c r="G369" t="s">
        <v>707</v>
      </c>
      <c r="H369" t="s">
        <v>4839</v>
      </c>
    </row>
    <row r="370" spans="1:8" ht="14" customHeight="1" x14ac:dyDescent="0.2">
      <c r="A370" t="s">
        <v>2274</v>
      </c>
      <c r="B370" t="s">
        <v>2274</v>
      </c>
      <c r="E370" t="e">
        <f>- competitive salary - Unlimited PTO - Fantastic working environment</f>
        <v>#NAME?</v>
      </c>
      <c r="F370" t="s">
        <v>4840</v>
      </c>
      <c r="G370" t="s">
        <v>708</v>
      </c>
      <c r="H370" t="s">
        <v>4841</v>
      </c>
    </row>
    <row r="371" spans="1:8" ht="14" customHeight="1" x14ac:dyDescent="0.2">
      <c r="A371" t="s">
        <v>2275</v>
      </c>
      <c r="B371" t="s">
        <v>2275</v>
      </c>
      <c r="E371" s="1" t="s">
        <v>709</v>
      </c>
      <c r="F371" t="s">
        <v>4842</v>
      </c>
      <c r="G371" s="1" t="s">
        <v>710</v>
      </c>
      <c r="H371" t="s">
        <v>4843</v>
      </c>
    </row>
    <row r="372" spans="1:8" ht="14" customHeight="1" x14ac:dyDescent="0.2">
      <c r="A372" t="s">
        <v>2276</v>
      </c>
      <c r="B372" t="s">
        <v>3446</v>
      </c>
      <c r="C372" t="e">
        <f>- Processes if dealt with case by case when possible</f>
        <v>#NAME?</v>
      </c>
      <c r="D372" t="s">
        <v>4037</v>
      </c>
      <c r="E372" t="e">
        <f>- working on latest and greatest Tech stack
- Hips of opportunity to learn new things
- best team culture to work with
- Big company giving you opportunity to move around different teams time to time, helping you take up on different challenges and grow
- best work life balance
- opportunity to pursue different career path in case if you are interested</f>
        <v>#NAME?</v>
      </c>
      <c r="F372" t="s">
        <v>4844</v>
      </c>
      <c r="G372" s="1" t="s">
        <v>711</v>
      </c>
      <c r="H372" t="s">
        <v>4845</v>
      </c>
    </row>
    <row r="373" spans="1:8" ht="14" customHeight="1" x14ac:dyDescent="0.2">
      <c r="A373" t="s">
        <v>2277</v>
      </c>
      <c r="B373" t="s">
        <v>2277</v>
      </c>
      <c r="C373" t="s">
        <v>3034</v>
      </c>
      <c r="D373" t="s">
        <v>3034</v>
      </c>
      <c r="E373" t="s">
        <v>712</v>
      </c>
      <c r="F373" t="s">
        <v>712</v>
      </c>
      <c r="G373" t="s">
        <v>713</v>
      </c>
      <c r="H373" t="s">
        <v>4846</v>
      </c>
    </row>
    <row r="374" spans="1:8" ht="14" customHeight="1" x14ac:dyDescent="0.2">
      <c r="A374" t="s">
        <v>2278</v>
      </c>
      <c r="B374" t="s">
        <v>2278</v>
      </c>
      <c r="C374" s="1" t="s">
        <v>3035</v>
      </c>
      <c r="D374" t="s">
        <v>4038</v>
      </c>
      <c r="E374" s="1" t="s">
        <v>714</v>
      </c>
      <c r="F374" t="s">
        <v>4847</v>
      </c>
      <c r="G374" s="1" t="s">
        <v>715</v>
      </c>
      <c r="H374" t="s">
        <v>4848</v>
      </c>
    </row>
    <row r="375" spans="1:8" ht="14" customHeight="1" x14ac:dyDescent="0.2">
      <c r="A375" t="s">
        <v>2279</v>
      </c>
      <c r="B375" t="s">
        <v>2279</v>
      </c>
      <c r="C375" t="s">
        <v>3036</v>
      </c>
      <c r="D375" t="s">
        <v>4039</v>
      </c>
      <c r="E375" t="s">
        <v>716</v>
      </c>
      <c r="F375" t="s">
        <v>4849</v>
      </c>
      <c r="G375" s="1" t="s">
        <v>717</v>
      </c>
      <c r="H375" t="s">
        <v>4850</v>
      </c>
    </row>
    <row r="376" spans="1:8" ht="14" customHeight="1" x14ac:dyDescent="0.2">
      <c r="A376" t="s">
        <v>2280</v>
      </c>
      <c r="B376" t="s">
        <v>2280</v>
      </c>
      <c r="C376" t="s">
        <v>3037</v>
      </c>
      <c r="D376" t="s">
        <v>3037</v>
      </c>
      <c r="E376" t="s">
        <v>718</v>
      </c>
      <c r="F376" t="s">
        <v>718</v>
      </c>
      <c r="G376" t="s">
        <v>719</v>
      </c>
      <c r="H376" t="s">
        <v>4851</v>
      </c>
    </row>
    <row r="377" spans="1:8" ht="14" customHeight="1" x14ac:dyDescent="0.2">
      <c r="A377" t="s">
        <v>2281</v>
      </c>
      <c r="B377" t="s">
        <v>2281</v>
      </c>
      <c r="E377" t="e">
        <f>- made some great friends
- Starting salary ok if you ask For it, depending on department
- Somewhat flexible
- Mostly Easy going with mistakes
- ok to gain some experience For a year or two but then move on - the role does not lead anywhere</f>
        <v>#NAME?</v>
      </c>
      <c r="F377" t="s">
        <v>4852</v>
      </c>
      <c r="G377" s="1" t="s">
        <v>720</v>
      </c>
      <c r="H377" t="s">
        <v>4853</v>
      </c>
    </row>
    <row r="378" spans="1:8" ht="14" customHeight="1" x14ac:dyDescent="0.2">
      <c r="A378" t="s">
        <v>2282</v>
      </c>
      <c r="B378" t="s">
        <v>5968</v>
      </c>
      <c r="E378" t="s">
        <v>721</v>
      </c>
      <c r="F378" t="s">
        <v>4854</v>
      </c>
      <c r="G378" s="1" t="s">
        <v>722</v>
      </c>
      <c r="H378" t="s">
        <v>4855</v>
      </c>
    </row>
    <row r="379" spans="1:8" ht="14" customHeight="1" x14ac:dyDescent="0.2">
      <c r="A379" t="s">
        <v>2283</v>
      </c>
      <c r="B379" t="s">
        <v>2283</v>
      </c>
      <c r="E379" t="s">
        <v>723</v>
      </c>
      <c r="F379" t="s">
        <v>4856</v>
      </c>
      <c r="G379" t="s">
        <v>724</v>
      </c>
      <c r="H379" t="s">
        <v>4857</v>
      </c>
    </row>
    <row r="380" spans="1:8" ht="14" customHeight="1" x14ac:dyDescent="0.2">
      <c r="A380" t="s">
        <v>2284</v>
      </c>
      <c r="B380" t="s">
        <v>2284</v>
      </c>
      <c r="E380" t="s">
        <v>725</v>
      </c>
      <c r="F380" t="s">
        <v>4858</v>
      </c>
      <c r="G380" t="s">
        <v>726</v>
      </c>
      <c r="H380" t="s">
        <v>4859</v>
      </c>
    </row>
    <row r="381" spans="1:8" ht="14" customHeight="1" x14ac:dyDescent="0.2">
      <c r="A381" t="s">
        <v>2285</v>
      </c>
      <c r="B381" t="s">
        <v>3447</v>
      </c>
      <c r="E381" s="1" t="s">
        <v>727</v>
      </c>
      <c r="F381" t="s">
        <v>4860</v>
      </c>
      <c r="G381" s="1" t="s">
        <v>728</v>
      </c>
      <c r="H381" t="s">
        <v>4861</v>
      </c>
    </row>
    <row r="382" spans="1:8" ht="14" customHeight="1" x14ac:dyDescent="0.2">
      <c r="A382" t="s">
        <v>2286</v>
      </c>
      <c r="B382" t="s">
        <v>2286</v>
      </c>
      <c r="E382" s="1" t="s">
        <v>729</v>
      </c>
      <c r="F382" t="s">
        <v>4862</v>
      </c>
      <c r="G382" s="1" t="s">
        <v>730</v>
      </c>
      <c r="H382" t="s">
        <v>4863</v>
      </c>
    </row>
    <row r="383" spans="1:8" ht="14" customHeight="1" x14ac:dyDescent="0.2">
      <c r="A383" t="s">
        <v>2287</v>
      </c>
      <c r="B383" t="s">
        <v>2287</v>
      </c>
      <c r="E383" t="s">
        <v>731</v>
      </c>
      <c r="F383" t="s">
        <v>4864</v>
      </c>
      <c r="G383" t="s">
        <v>732</v>
      </c>
      <c r="H383" t="s">
        <v>4865</v>
      </c>
    </row>
    <row r="384" spans="1:8" ht="14" customHeight="1" x14ac:dyDescent="0.2">
      <c r="A384" t="s">
        <v>2288</v>
      </c>
      <c r="B384" t="s">
        <v>2288</v>
      </c>
      <c r="E384" t="s">
        <v>733</v>
      </c>
      <c r="F384" t="s">
        <v>4866</v>
      </c>
      <c r="G384" t="s">
        <v>734</v>
      </c>
      <c r="H384" t="s">
        <v>4867</v>
      </c>
    </row>
    <row r="385" spans="1:8" ht="14" customHeight="1" x14ac:dyDescent="0.2">
      <c r="A385" t="s">
        <v>2289</v>
      </c>
      <c r="B385" t="s">
        <v>2289</v>
      </c>
      <c r="C385" t="s">
        <v>3038</v>
      </c>
      <c r="D385" t="s">
        <v>4040</v>
      </c>
      <c r="E385" t="e">
        <f>- great compensation
- great portfolio product suite
- I love my coworkers</f>
        <v>#NAME?</v>
      </c>
      <c r="F385" t="s">
        <v>4868</v>
      </c>
      <c r="G385" t="e">
        <f>-Management has No clue really how to lead</f>
        <v>#NAME?</v>
      </c>
      <c r="H385" t="s">
        <v>4869</v>
      </c>
    </row>
    <row r="386" spans="1:8" ht="14" customHeight="1" x14ac:dyDescent="0.2">
      <c r="A386" t="s">
        <v>2290</v>
      </c>
      <c r="B386" t="s">
        <v>2290</v>
      </c>
      <c r="E386" t="s">
        <v>735</v>
      </c>
      <c r="F386" t="s">
        <v>4870</v>
      </c>
      <c r="G386" t="s">
        <v>736</v>
      </c>
      <c r="H386" t="s">
        <v>4871</v>
      </c>
    </row>
    <row r="387" spans="1:8" ht="14" customHeight="1" x14ac:dyDescent="0.2">
      <c r="A387" t="s">
        <v>2291</v>
      </c>
      <c r="B387" t="s">
        <v>2291</v>
      </c>
      <c r="E387" s="1" t="s">
        <v>737</v>
      </c>
      <c r="F387" t="s">
        <v>4872</v>
      </c>
      <c r="G387" s="1" t="s">
        <v>738</v>
      </c>
      <c r="H387" t="s">
        <v>4873</v>
      </c>
    </row>
    <row r="388" spans="1:8" ht="14" customHeight="1" x14ac:dyDescent="0.2">
      <c r="A388" t="s">
        <v>2292</v>
      </c>
      <c r="B388" t="s">
        <v>3448</v>
      </c>
      <c r="E388" t="s">
        <v>739</v>
      </c>
      <c r="G388" t="s">
        <v>740</v>
      </c>
      <c r="H388" t="s">
        <v>4874</v>
      </c>
    </row>
    <row r="389" spans="1:8" ht="14" customHeight="1" x14ac:dyDescent="0.2">
      <c r="A389" t="s">
        <v>2293</v>
      </c>
      <c r="B389" t="s">
        <v>3449</v>
      </c>
      <c r="E389" t="s">
        <v>741</v>
      </c>
      <c r="F389" t="s">
        <v>4875</v>
      </c>
      <c r="G389" t="s">
        <v>742</v>
      </c>
      <c r="H389" t="s">
        <v>4876</v>
      </c>
    </row>
    <row r="390" spans="1:8" ht="14" customHeight="1" x14ac:dyDescent="0.2">
      <c r="A390" t="s">
        <v>2294</v>
      </c>
      <c r="B390" t="s">
        <v>2294</v>
      </c>
      <c r="E390" t="s">
        <v>743</v>
      </c>
      <c r="G390" t="s">
        <v>744</v>
      </c>
      <c r="H390" t="s">
        <v>4877</v>
      </c>
    </row>
    <row r="391" spans="1:8" ht="14" customHeight="1" x14ac:dyDescent="0.2">
      <c r="A391" t="s">
        <v>2295</v>
      </c>
      <c r="B391" t="s">
        <v>2295</v>
      </c>
      <c r="E391" s="1" t="s">
        <v>745</v>
      </c>
      <c r="F391" t="s">
        <v>4878</v>
      </c>
      <c r="G391" s="1" t="s">
        <v>746</v>
      </c>
      <c r="H391" t="s">
        <v>4879</v>
      </c>
    </row>
    <row r="392" spans="1:8" ht="14" customHeight="1" x14ac:dyDescent="0.2">
      <c r="A392" t="s">
        <v>2296</v>
      </c>
      <c r="B392" t="s">
        <v>2296</v>
      </c>
      <c r="E392" t="s">
        <v>747</v>
      </c>
      <c r="F392" t="s">
        <v>4880</v>
      </c>
      <c r="G392" t="s">
        <v>748</v>
      </c>
      <c r="H392" t="s">
        <v>4881</v>
      </c>
    </row>
    <row r="393" spans="1:8" ht="14" customHeight="1" x14ac:dyDescent="0.2">
      <c r="A393" t="s">
        <v>2297</v>
      </c>
      <c r="B393" t="s">
        <v>3450</v>
      </c>
      <c r="E393" t="s">
        <v>749</v>
      </c>
      <c r="F393" t="s">
        <v>4882</v>
      </c>
      <c r="G393" s="1" t="s">
        <v>750</v>
      </c>
      <c r="H393" t="s">
        <v>4883</v>
      </c>
    </row>
    <row r="394" spans="1:8" ht="14" customHeight="1" x14ac:dyDescent="0.2">
      <c r="A394" t="s">
        <v>2298</v>
      </c>
      <c r="B394" t="s">
        <v>2298</v>
      </c>
      <c r="E394" t="s">
        <v>751</v>
      </c>
      <c r="F394" t="s">
        <v>751</v>
      </c>
      <c r="G394" t="s">
        <v>752</v>
      </c>
    </row>
    <row r="395" spans="1:8" ht="14" customHeight="1" x14ac:dyDescent="0.2">
      <c r="A395" t="s">
        <v>2299</v>
      </c>
      <c r="B395" t="s">
        <v>2299</v>
      </c>
      <c r="E395" t="e">
        <f>- compensation is above market (the only pro)</f>
        <v>#NAME?</v>
      </c>
      <c r="F395" t="s">
        <v>4884</v>
      </c>
      <c r="G395" s="1" t="s">
        <v>753</v>
      </c>
      <c r="H395" t="s">
        <v>4885</v>
      </c>
    </row>
    <row r="396" spans="1:8" ht="14" customHeight="1" x14ac:dyDescent="0.2">
      <c r="A396" t="s">
        <v>2300</v>
      </c>
      <c r="B396" t="s">
        <v>3451</v>
      </c>
      <c r="E396" s="1" t="s">
        <v>754</v>
      </c>
      <c r="F396" t="s">
        <v>4886</v>
      </c>
      <c r="G396" s="1" t="s">
        <v>755</v>
      </c>
      <c r="H396" t="s">
        <v>4887</v>
      </c>
    </row>
    <row r="397" spans="1:8" ht="14" customHeight="1" x14ac:dyDescent="0.2">
      <c r="A397" t="s">
        <v>2301</v>
      </c>
      <c r="B397" t="s">
        <v>2301</v>
      </c>
      <c r="E397" t="s">
        <v>756</v>
      </c>
      <c r="F397" t="s">
        <v>4888</v>
      </c>
      <c r="G397" t="s">
        <v>757</v>
      </c>
      <c r="H397" t="s">
        <v>4889</v>
      </c>
    </row>
    <row r="398" spans="1:8" ht="14" customHeight="1" x14ac:dyDescent="0.2">
      <c r="A398" t="s">
        <v>2302</v>
      </c>
      <c r="B398" t="s">
        <v>2302</v>
      </c>
      <c r="E398" t="s">
        <v>758</v>
      </c>
      <c r="F398" t="s">
        <v>758</v>
      </c>
      <c r="G398" t="s">
        <v>759</v>
      </c>
      <c r="H398" t="s">
        <v>4890</v>
      </c>
    </row>
    <row r="399" spans="1:8" ht="14" customHeight="1" x14ac:dyDescent="0.2">
      <c r="A399" t="s">
        <v>2303</v>
      </c>
      <c r="B399" t="s">
        <v>2303</v>
      </c>
      <c r="E399" t="s">
        <v>760</v>
      </c>
      <c r="F399" t="s">
        <v>4891</v>
      </c>
      <c r="G399" t="s">
        <v>761</v>
      </c>
      <c r="H399" t="s">
        <v>4892</v>
      </c>
    </row>
    <row r="400" spans="1:8" ht="14" customHeight="1" x14ac:dyDescent="0.2">
      <c r="A400" t="s">
        <v>2304</v>
      </c>
      <c r="B400" t="s">
        <v>2304</v>
      </c>
      <c r="E400" t="s">
        <v>762</v>
      </c>
      <c r="F400" t="s">
        <v>4893</v>
      </c>
      <c r="G400" t="s">
        <v>763</v>
      </c>
      <c r="H400" t="s">
        <v>763</v>
      </c>
    </row>
    <row r="401" spans="1:8" ht="14" customHeight="1" x14ac:dyDescent="0.2">
      <c r="A401" t="s">
        <v>2305</v>
      </c>
      <c r="B401" t="s">
        <v>3452</v>
      </c>
      <c r="E401" t="s">
        <v>764</v>
      </c>
      <c r="F401" t="s">
        <v>4894</v>
      </c>
      <c r="G401" s="1" t="s">
        <v>765</v>
      </c>
      <c r="H401" t="s">
        <v>4895</v>
      </c>
    </row>
    <row r="402" spans="1:8" ht="14" customHeight="1" x14ac:dyDescent="0.2">
      <c r="A402" t="s">
        <v>2306</v>
      </c>
      <c r="B402" t="s">
        <v>2306</v>
      </c>
      <c r="E402" t="s">
        <v>766</v>
      </c>
      <c r="F402" t="s">
        <v>4896</v>
      </c>
      <c r="G402" s="1" t="s">
        <v>767</v>
      </c>
      <c r="H402" t="s">
        <v>4897</v>
      </c>
    </row>
    <row r="403" spans="1:8" ht="14" customHeight="1" x14ac:dyDescent="0.2">
      <c r="A403" t="s">
        <v>2307</v>
      </c>
      <c r="B403" t="s">
        <v>3453</v>
      </c>
      <c r="E403" t="s">
        <v>768</v>
      </c>
      <c r="F403" t="s">
        <v>4898</v>
      </c>
      <c r="G403" t="s">
        <v>769</v>
      </c>
      <c r="H403" t="s">
        <v>4899</v>
      </c>
    </row>
    <row r="404" spans="1:8" ht="14" customHeight="1" x14ac:dyDescent="0.2">
      <c r="A404" t="s">
        <v>2308</v>
      </c>
      <c r="B404" t="s">
        <v>3454</v>
      </c>
      <c r="E404" t="s">
        <v>770</v>
      </c>
      <c r="F404" t="s">
        <v>4900</v>
      </c>
      <c r="G404" t="s">
        <v>771</v>
      </c>
      <c r="H404" t="s">
        <v>4901</v>
      </c>
    </row>
    <row r="405" spans="1:8" ht="14" customHeight="1" x14ac:dyDescent="0.2">
      <c r="A405" t="s">
        <v>2309</v>
      </c>
      <c r="B405" t="s">
        <v>3455</v>
      </c>
      <c r="E405" t="s">
        <v>772</v>
      </c>
      <c r="F405" t="s">
        <v>4902</v>
      </c>
      <c r="G405" t="s">
        <v>773</v>
      </c>
      <c r="H405" t="s">
        <v>4903</v>
      </c>
    </row>
    <row r="406" spans="1:8" ht="14" customHeight="1" x14ac:dyDescent="0.2">
      <c r="A406" t="s">
        <v>2310</v>
      </c>
      <c r="B406" t="s">
        <v>3456</v>
      </c>
      <c r="E406" s="1" t="s">
        <v>774</v>
      </c>
      <c r="F406" t="s">
        <v>4904</v>
      </c>
      <c r="G406" s="1" t="s">
        <v>775</v>
      </c>
      <c r="H406" t="s">
        <v>4905</v>
      </c>
    </row>
    <row r="407" spans="1:8" ht="14" customHeight="1" x14ac:dyDescent="0.2">
      <c r="A407" t="s">
        <v>2311</v>
      </c>
      <c r="B407" t="s">
        <v>3457</v>
      </c>
      <c r="C407" t="s">
        <v>3039</v>
      </c>
      <c r="D407" t="s">
        <v>3916</v>
      </c>
      <c r="E407" t="s">
        <v>776</v>
      </c>
      <c r="G407" t="s">
        <v>777</v>
      </c>
      <c r="H407" t="s">
        <v>4906</v>
      </c>
    </row>
    <row r="408" spans="1:8" ht="14" customHeight="1" x14ac:dyDescent="0.2">
      <c r="A408" t="s">
        <v>2312</v>
      </c>
      <c r="B408" t="s">
        <v>3458</v>
      </c>
      <c r="C408" t="s">
        <v>3040</v>
      </c>
      <c r="D408" t="s">
        <v>4041</v>
      </c>
      <c r="E408" t="s">
        <v>778</v>
      </c>
      <c r="F408" t="s">
        <v>4907</v>
      </c>
      <c r="G408" t="s">
        <v>779</v>
      </c>
      <c r="H408" t="s">
        <v>4908</v>
      </c>
    </row>
    <row r="409" spans="1:8" ht="14" customHeight="1" x14ac:dyDescent="0.2">
      <c r="A409" t="s">
        <v>2313</v>
      </c>
      <c r="B409" t="s">
        <v>3459</v>
      </c>
      <c r="C409" t="s">
        <v>3041</v>
      </c>
      <c r="D409" t="s">
        <v>4042</v>
      </c>
      <c r="E409" t="s">
        <v>780</v>
      </c>
      <c r="F409" t="s">
        <v>780</v>
      </c>
      <c r="G409" t="s">
        <v>781</v>
      </c>
      <c r="H409" t="s">
        <v>781</v>
      </c>
    </row>
    <row r="410" spans="1:8" ht="14" customHeight="1" x14ac:dyDescent="0.2">
      <c r="A410" t="s">
        <v>2314</v>
      </c>
      <c r="B410" t="s">
        <v>3460</v>
      </c>
      <c r="E410" s="1" t="s">
        <v>782</v>
      </c>
      <c r="F410" t="s">
        <v>4909</v>
      </c>
      <c r="G410" s="1" t="s">
        <v>783</v>
      </c>
      <c r="H410" t="s">
        <v>4910</v>
      </c>
    </row>
    <row r="411" spans="1:8" ht="14" customHeight="1" x14ac:dyDescent="0.2">
      <c r="A411" t="s">
        <v>2315</v>
      </c>
      <c r="B411" t="s">
        <v>3461</v>
      </c>
      <c r="E411" t="s">
        <v>784</v>
      </c>
      <c r="F411" t="s">
        <v>4911</v>
      </c>
      <c r="G411" t="s">
        <v>785</v>
      </c>
      <c r="H411" t="s">
        <v>4912</v>
      </c>
    </row>
    <row r="412" spans="1:8" ht="14" customHeight="1" x14ac:dyDescent="0.2">
      <c r="A412" t="s">
        <v>2316</v>
      </c>
      <c r="B412" t="s">
        <v>2316</v>
      </c>
      <c r="E412" s="1" t="s">
        <v>786</v>
      </c>
      <c r="F412" t="s">
        <v>4913</v>
      </c>
      <c r="G412" s="1" t="s">
        <v>787</v>
      </c>
      <c r="H412" t="s">
        <v>4914</v>
      </c>
    </row>
    <row r="413" spans="1:8" ht="14" customHeight="1" x14ac:dyDescent="0.2">
      <c r="A413" t="s">
        <v>2317</v>
      </c>
      <c r="B413" t="s">
        <v>3462</v>
      </c>
      <c r="E413" t="s">
        <v>788</v>
      </c>
      <c r="F413" t="s">
        <v>4915</v>
      </c>
      <c r="G413" t="s">
        <v>789</v>
      </c>
      <c r="H413" t="s">
        <v>4916</v>
      </c>
    </row>
    <row r="414" spans="1:8" ht="14" customHeight="1" x14ac:dyDescent="0.2">
      <c r="A414" t="s">
        <v>2318</v>
      </c>
      <c r="B414" t="s">
        <v>3463</v>
      </c>
      <c r="E414" s="1" t="s">
        <v>790</v>
      </c>
      <c r="F414" t="s">
        <v>4917</v>
      </c>
      <c r="G414" s="1" t="s">
        <v>791</v>
      </c>
      <c r="H414" t="s">
        <v>4918</v>
      </c>
    </row>
    <row r="415" spans="1:8" ht="14" customHeight="1" x14ac:dyDescent="0.2">
      <c r="A415" t="s">
        <v>2319</v>
      </c>
      <c r="B415" t="s">
        <v>3464</v>
      </c>
      <c r="E415" t="s">
        <v>792</v>
      </c>
      <c r="F415" t="s">
        <v>792</v>
      </c>
      <c r="G415" t="s">
        <v>793</v>
      </c>
      <c r="H415" t="s">
        <v>4919</v>
      </c>
    </row>
    <row r="416" spans="1:8" ht="14" customHeight="1" x14ac:dyDescent="0.2">
      <c r="A416" t="s">
        <v>2320</v>
      </c>
      <c r="B416" t="s">
        <v>3465</v>
      </c>
      <c r="E416" t="s">
        <v>794</v>
      </c>
      <c r="F416" t="s">
        <v>4920</v>
      </c>
      <c r="G416" t="s">
        <v>795</v>
      </c>
      <c r="H416" t="s">
        <v>4921</v>
      </c>
    </row>
    <row r="417" spans="1:8" ht="14" customHeight="1" x14ac:dyDescent="0.2">
      <c r="A417" t="s">
        <v>2321</v>
      </c>
      <c r="B417" t="s">
        <v>3466</v>
      </c>
      <c r="E417" t="s">
        <v>796</v>
      </c>
      <c r="F417" t="s">
        <v>4922</v>
      </c>
      <c r="G417" t="s">
        <v>797</v>
      </c>
      <c r="H417" t="s">
        <v>4923</v>
      </c>
    </row>
    <row r="418" spans="1:8" ht="14" customHeight="1" x14ac:dyDescent="0.2">
      <c r="A418" t="s">
        <v>2322</v>
      </c>
      <c r="B418" t="s">
        <v>3467</v>
      </c>
      <c r="E418" t="s">
        <v>798</v>
      </c>
      <c r="F418" t="s">
        <v>4924</v>
      </c>
      <c r="G418" t="s">
        <v>799</v>
      </c>
      <c r="H418" t="s">
        <v>4925</v>
      </c>
    </row>
    <row r="419" spans="1:8" ht="14" customHeight="1" x14ac:dyDescent="0.2">
      <c r="A419" t="s">
        <v>2323</v>
      </c>
      <c r="B419" t="s">
        <v>3468</v>
      </c>
      <c r="E419" t="s">
        <v>800</v>
      </c>
      <c r="G419" t="s">
        <v>801</v>
      </c>
      <c r="H419" t="s">
        <v>4926</v>
      </c>
    </row>
    <row r="420" spans="1:8" ht="14" customHeight="1" x14ac:dyDescent="0.2">
      <c r="A420" t="s">
        <v>2324</v>
      </c>
      <c r="B420" t="s">
        <v>3469</v>
      </c>
      <c r="E420" s="1" t="s">
        <v>802</v>
      </c>
      <c r="F420" t="s">
        <v>4927</v>
      </c>
      <c r="G420" s="1" t="s">
        <v>803</v>
      </c>
      <c r="H420" t="s">
        <v>4928</v>
      </c>
    </row>
    <row r="421" spans="1:8" ht="14" customHeight="1" x14ac:dyDescent="0.2">
      <c r="A421" t="s">
        <v>2325</v>
      </c>
      <c r="B421" t="s">
        <v>3470</v>
      </c>
      <c r="E421" s="1" t="s">
        <v>804</v>
      </c>
      <c r="F421" t="s">
        <v>4929</v>
      </c>
      <c r="G421" s="1" t="s">
        <v>805</v>
      </c>
      <c r="H421" t="s">
        <v>4930</v>
      </c>
    </row>
    <row r="422" spans="1:8" ht="14" customHeight="1" x14ac:dyDescent="0.2">
      <c r="A422" t="s">
        <v>2326</v>
      </c>
      <c r="B422" t="s">
        <v>3471</v>
      </c>
      <c r="E422" t="s">
        <v>806</v>
      </c>
      <c r="G422" s="1" t="s">
        <v>807</v>
      </c>
      <c r="H422" t="s">
        <v>4931</v>
      </c>
    </row>
    <row r="423" spans="1:8" ht="14" customHeight="1" x14ac:dyDescent="0.2">
      <c r="A423" t="s">
        <v>2327</v>
      </c>
      <c r="B423" t="s">
        <v>3472</v>
      </c>
      <c r="E423" s="1" t="s">
        <v>808</v>
      </c>
      <c r="F423" t="s">
        <v>4932</v>
      </c>
      <c r="G423" s="1" t="s">
        <v>809</v>
      </c>
      <c r="H423" t="s">
        <v>4933</v>
      </c>
    </row>
    <row r="424" spans="1:8" ht="14" customHeight="1" x14ac:dyDescent="0.2">
      <c r="A424" t="s">
        <v>2328</v>
      </c>
      <c r="B424" t="s">
        <v>3473</v>
      </c>
      <c r="E424" t="s">
        <v>810</v>
      </c>
      <c r="F424" t="s">
        <v>4934</v>
      </c>
      <c r="G424" t="s">
        <v>811</v>
      </c>
      <c r="H424" t="s">
        <v>4935</v>
      </c>
    </row>
    <row r="425" spans="1:8" ht="14" customHeight="1" x14ac:dyDescent="0.2">
      <c r="A425" t="s">
        <v>2329</v>
      </c>
      <c r="B425" t="s">
        <v>3474</v>
      </c>
      <c r="E425" t="s">
        <v>812</v>
      </c>
      <c r="F425" t="s">
        <v>4936</v>
      </c>
      <c r="G425" t="s">
        <v>813</v>
      </c>
      <c r="H425" t="s">
        <v>4937</v>
      </c>
    </row>
    <row r="426" spans="1:8" ht="14" customHeight="1" x14ac:dyDescent="0.2">
      <c r="A426" t="s">
        <v>2330</v>
      </c>
      <c r="B426" t="s">
        <v>3475</v>
      </c>
      <c r="E426" t="s">
        <v>814</v>
      </c>
      <c r="F426" t="s">
        <v>4938</v>
      </c>
      <c r="G426" t="s">
        <v>815</v>
      </c>
      <c r="H426" t="s">
        <v>4939</v>
      </c>
    </row>
    <row r="427" spans="1:8" ht="14" customHeight="1" x14ac:dyDescent="0.2">
      <c r="A427" t="s">
        <v>2179</v>
      </c>
      <c r="B427" t="s">
        <v>3476</v>
      </c>
      <c r="E427" t="s">
        <v>816</v>
      </c>
      <c r="F427" t="s">
        <v>4940</v>
      </c>
      <c r="G427" t="s">
        <v>817</v>
      </c>
      <c r="H427" t="s">
        <v>4941</v>
      </c>
    </row>
    <row r="428" spans="1:8" ht="14" customHeight="1" x14ac:dyDescent="0.2">
      <c r="A428" t="s">
        <v>2331</v>
      </c>
      <c r="B428" t="s">
        <v>3477</v>
      </c>
      <c r="E428" t="s">
        <v>818</v>
      </c>
      <c r="F428" t="s">
        <v>4942</v>
      </c>
      <c r="G428" t="s">
        <v>819</v>
      </c>
      <c r="H428" t="s">
        <v>4943</v>
      </c>
    </row>
    <row r="429" spans="1:8" ht="14" customHeight="1" x14ac:dyDescent="0.2">
      <c r="A429" t="s">
        <v>2332</v>
      </c>
      <c r="B429" t="s">
        <v>3478</v>
      </c>
      <c r="E429" t="s">
        <v>820</v>
      </c>
      <c r="F429" t="s">
        <v>4944</v>
      </c>
      <c r="G429" t="s">
        <v>821</v>
      </c>
      <c r="H429" t="s">
        <v>4945</v>
      </c>
    </row>
    <row r="430" spans="1:8" ht="14" customHeight="1" x14ac:dyDescent="0.2">
      <c r="A430" t="s">
        <v>2333</v>
      </c>
      <c r="B430" t="s">
        <v>3479</v>
      </c>
      <c r="E430" t="s">
        <v>822</v>
      </c>
      <c r="G430" t="s">
        <v>823</v>
      </c>
      <c r="H430" t="s">
        <v>4946</v>
      </c>
    </row>
    <row r="431" spans="1:8" ht="14" customHeight="1" x14ac:dyDescent="0.2">
      <c r="A431" t="s">
        <v>2334</v>
      </c>
      <c r="B431" t="s">
        <v>3480</v>
      </c>
      <c r="E431" t="s">
        <v>824</v>
      </c>
      <c r="F431" t="s">
        <v>824</v>
      </c>
      <c r="G431" s="1" t="s">
        <v>825</v>
      </c>
      <c r="H431" t="s">
        <v>4947</v>
      </c>
    </row>
    <row r="432" spans="1:8" ht="14" customHeight="1" x14ac:dyDescent="0.2">
      <c r="A432" t="s">
        <v>2335</v>
      </c>
      <c r="B432" t="s">
        <v>3481</v>
      </c>
      <c r="E432" t="s">
        <v>826</v>
      </c>
      <c r="F432" t="s">
        <v>4948</v>
      </c>
      <c r="G432" t="s">
        <v>827</v>
      </c>
      <c r="H432" t="s">
        <v>4949</v>
      </c>
    </row>
    <row r="433" spans="1:8" ht="14" customHeight="1" x14ac:dyDescent="0.2">
      <c r="A433" t="s">
        <v>2336</v>
      </c>
      <c r="B433" t="s">
        <v>3482</v>
      </c>
      <c r="E433" t="s">
        <v>828</v>
      </c>
      <c r="F433" t="s">
        <v>4950</v>
      </c>
      <c r="G433" t="s">
        <v>829</v>
      </c>
      <c r="H433" t="s">
        <v>4951</v>
      </c>
    </row>
    <row r="434" spans="1:8" ht="14" customHeight="1" x14ac:dyDescent="0.2">
      <c r="A434" t="s">
        <v>2337</v>
      </c>
      <c r="B434" t="s">
        <v>3483</v>
      </c>
      <c r="E434" t="s">
        <v>830</v>
      </c>
      <c r="F434" t="s">
        <v>4952</v>
      </c>
      <c r="G434" t="s">
        <v>831</v>
      </c>
      <c r="H434" t="s">
        <v>831</v>
      </c>
    </row>
    <row r="435" spans="1:8" ht="14" customHeight="1" x14ac:dyDescent="0.2">
      <c r="A435" t="s">
        <v>2338</v>
      </c>
      <c r="B435" t="s">
        <v>3484</v>
      </c>
      <c r="E435" t="e">
        <f>- I Worked with some really amazing people here and Overall, if you are a hard worker, There was opportunity For advancement.
 - people are Smart, fun and productive</f>
        <v>#NAME?</v>
      </c>
      <c r="F435" t="s">
        <v>4953</v>
      </c>
      <c r="G435" t="e">
        <f>- Extremely high turnover especially in the Management team. they allowed some of their best people to leave
- the hardest workers were sometimes taken advantage of
- Politics between different departments meant that sometimes it was difficult to get things done
- Harsh approach to worker retention
- HR team that was about as backstabbing as it gets
- like many Tech companies, There were some managers who were borderline sexist.</f>
        <v>#NAME?</v>
      </c>
      <c r="H435" t="s">
        <v>4954</v>
      </c>
    </row>
    <row r="436" spans="1:8" ht="14" customHeight="1" x14ac:dyDescent="0.2">
      <c r="A436" t="s">
        <v>2339</v>
      </c>
      <c r="B436" t="s">
        <v>3485</v>
      </c>
      <c r="E436" t="s">
        <v>832</v>
      </c>
      <c r="G436" s="1" t="s">
        <v>833</v>
      </c>
      <c r="H436" t="s">
        <v>4955</v>
      </c>
    </row>
    <row r="437" spans="1:8" ht="14" customHeight="1" x14ac:dyDescent="0.2">
      <c r="A437" t="s">
        <v>2340</v>
      </c>
      <c r="B437" t="s">
        <v>3486</v>
      </c>
      <c r="E437" t="s">
        <v>834</v>
      </c>
      <c r="F437" t="s">
        <v>4956</v>
      </c>
      <c r="G437" t="s">
        <v>835</v>
      </c>
      <c r="H437" t="s">
        <v>4957</v>
      </c>
    </row>
    <row r="438" spans="1:8" ht="14" customHeight="1" x14ac:dyDescent="0.2">
      <c r="A438" t="s">
        <v>2341</v>
      </c>
      <c r="B438" t="s">
        <v>3487</v>
      </c>
      <c r="E438" t="s">
        <v>836</v>
      </c>
      <c r="G438" t="s">
        <v>837</v>
      </c>
      <c r="H438" t="s">
        <v>4958</v>
      </c>
    </row>
    <row r="439" spans="1:8" ht="14" customHeight="1" x14ac:dyDescent="0.2">
      <c r="A439" t="s">
        <v>2342</v>
      </c>
      <c r="B439" t="s">
        <v>3488</v>
      </c>
      <c r="E439" t="s">
        <v>838</v>
      </c>
      <c r="F439" t="s">
        <v>4959</v>
      </c>
      <c r="G439" t="s">
        <v>839</v>
      </c>
      <c r="H439" t="s">
        <v>4960</v>
      </c>
    </row>
    <row r="440" spans="1:8" ht="14" customHeight="1" x14ac:dyDescent="0.2">
      <c r="A440" t="s">
        <v>2343</v>
      </c>
      <c r="B440" t="s">
        <v>3489</v>
      </c>
      <c r="E440" t="s">
        <v>840</v>
      </c>
      <c r="F440" t="s">
        <v>4961</v>
      </c>
      <c r="G440" t="s">
        <v>841</v>
      </c>
      <c r="H440" t="s">
        <v>4962</v>
      </c>
    </row>
    <row r="441" spans="1:8" ht="14" customHeight="1" x14ac:dyDescent="0.2">
      <c r="A441" t="s">
        <v>2344</v>
      </c>
      <c r="B441" t="s">
        <v>3490</v>
      </c>
      <c r="E441" t="s">
        <v>842</v>
      </c>
      <c r="F441" t="s">
        <v>4963</v>
      </c>
      <c r="G441" t="s">
        <v>843</v>
      </c>
      <c r="H441" t="s">
        <v>4964</v>
      </c>
    </row>
    <row r="442" spans="1:8" ht="14" customHeight="1" x14ac:dyDescent="0.2">
      <c r="A442" t="s">
        <v>2345</v>
      </c>
      <c r="B442" t="s">
        <v>2345</v>
      </c>
      <c r="E442" t="s">
        <v>844</v>
      </c>
      <c r="F442" t="s">
        <v>4965</v>
      </c>
      <c r="G442" t="s">
        <v>845</v>
      </c>
      <c r="H442" t="s">
        <v>4966</v>
      </c>
    </row>
    <row r="443" spans="1:8" ht="14" customHeight="1" x14ac:dyDescent="0.2">
      <c r="A443" t="s">
        <v>2346</v>
      </c>
      <c r="B443" t="s">
        <v>3491</v>
      </c>
      <c r="E443" t="s">
        <v>846</v>
      </c>
      <c r="F443" t="s">
        <v>4967</v>
      </c>
      <c r="G443" t="s">
        <v>847</v>
      </c>
      <c r="H443" t="s">
        <v>4968</v>
      </c>
    </row>
    <row r="444" spans="1:8" ht="14" customHeight="1" x14ac:dyDescent="0.2">
      <c r="A444" t="s">
        <v>2347</v>
      </c>
      <c r="B444" t="s">
        <v>3492</v>
      </c>
      <c r="E444" t="s">
        <v>848</v>
      </c>
      <c r="F444" t="s">
        <v>4969</v>
      </c>
      <c r="G444" t="s">
        <v>849</v>
      </c>
      <c r="H444" t="s">
        <v>4970</v>
      </c>
    </row>
    <row r="445" spans="1:8" ht="14" customHeight="1" x14ac:dyDescent="0.2">
      <c r="A445" t="s">
        <v>2348</v>
      </c>
      <c r="B445" t="s">
        <v>3493</v>
      </c>
      <c r="E445" t="s">
        <v>850</v>
      </c>
      <c r="F445" t="s">
        <v>4971</v>
      </c>
      <c r="G445" t="s">
        <v>851</v>
      </c>
      <c r="H445" t="s">
        <v>4972</v>
      </c>
    </row>
    <row r="446" spans="1:8" ht="14" customHeight="1" x14ac:dyDescent="0.2">
      <c r="A446" t="s">
        <v>2349</v>
      </c>
      <c r="B446" t="s">
        <v>3494</v>
      </c>
      <c r="E446" t="s">
        <v>852</v>
      </c>
      <c r="F446" t="s">
        <v>4973</v>
      </c>
      <c r="G446" t="s">
        <v>853</v>
      </c>
      <c r="H446" t="s">
        <v>4974</v>
      </c>
    </row>
    <row r="447" spans="1:8" ht="14" customHeight="1" x14ac:dyDescent="0.2">
      <c r="A447" t="s">
        <v>2350</v>
      </c>
      <c r="B447" t="s">
        <v>3495</v>
      </c>
      <c r="E447" t="s">
        <v>854</v>
      </c>
      <c r="G447" t="s">
        <v>855</v>
      </c>
      <c r="H447" t="s">
        <v>4975</v>
      </c>
    </row>
    <row r="448" spans="1:8" ht="14" customHeight="1" x14ac:dyDescent="0.2">
      <c r="A448" t="s">
        <v>1977</v>
      </c>
      <c r="E448" t="s">
        <v>856</v>
      </c>
      <c r="G448" t="s">
        <v>857</v>
      </c>
      <c r="H448" t="s">
        <v>4976</v>
      </c>
    </row>
    <row r="449" spans="1:8" ht="14" customHeight="1" x14ac:dyDescent="0.2">
      <c r="A449" t="s">
        <v>2351</v>
      </c>
      <c r="B449" t="s">
        <v>3496</v>
      </c>
      <c r="E449" s="1" t="s">
        <v>858</v>
      </c>
      <c r="F449" t="s">
        <v>4977</v>
      </c>
      <c r="G449" t="s">
        <v>859</v>
      </c>
      <c r="H449" t="s">
        <v>4978</v>
      </c>
    </row>
    <row r="450" spans="1:8" ht="14" customHeight="1" x14ac:dyDescent="0.2">
      <c r="A450" t="s">
        <v>2352</v>
      </c>
      <c r="B450" t="s">
        <v>3497</v>
      </c>
      <c r="E450" s="1" t="s">
        <v>860</v>
      </c>
      <c r="F450" t="s">
        <v>4979</v>
      </c>
      <c r="G450" s="1" t="s">
        <v>861</v>
      </c>
      <c r="H450" t="s">
        <v>4980</v>
      </c>
    </row>
    <row r="451" spans="1:8" ht="14" customHeight="1" x14ac:dyDescent="0.2">
      <c r="A451" t="s">
        <v>2353</v>
      </c>
      <c r="B451" t="s">
        <v>3498</v>
      </c>
      <c r="E451" s="1" t="s">
        <v>862</v>
      </c>
      <c r="F451" t="s">
        <v>4981</v>
      </c>
      <c r="G451" s="1" t="s">
        <v>863</v>
      </c>
      <c r="H451" t="s">
        <v>4982</v>
      </c>
    </row>
    <row r="452" spans="1:8" ht="14" customHeight="1" x14ac:dyDescent="0.2">
      <c r="A452" t="s">
        <v>2354</v>
      </c>
      <c r="B452" t="s">
        <v>3499</v>
      </c>
      <c r="E452" t="s">
        <v>864</v>
      </c>
      <c r="F452" t="s">
        <v>4983</v>
      </c>
      <c r="G452" t="s">
        <v>865</v>
      </c>
      <c r="H452" t="s">
        <v>4984</v>
      </c>
    </row>
    <row r="453" spans="1:8" ht="14" customHeight="1" x14ac:dyDescent="0.2">
      <c r="A453" t="s">
        <v>2355</v>
      </c>
      <c r="B453" t="s">
        <v>3500</v>
      </c>
      <c r="E453" t="s">
        <v>866</v>
      </c>
      <c r="F453" t="s">
        <v>4985</v>
      </c>
      <c r="G453" t="s">
        <v>867</v>
      </c>
      <c r="H453" t="s">
        <v>4986</v>
      </c>
    </row>
    <row r="454" spans="1:8" ht="14" customHeight="1" x14ac:dyDescent="0.2">
      <c r="A454" t="s">
        <v>2356</v>
      </c>
      <c r="B454" t="s">
        <v>3501</v>
      </c>
      <c r="E454" t="s">
        <v>868</v>
      </c>
      <c r="F454" t="s">
        <v>4987</v>
      </c>
      <c r="G454" t="s">
        <v>869</v>
      </c>
      <c r="H454" t="s">
        <v>4988</v>
      </c>
    </row>
    <row r="455" spans="1:8" ht="14" customHeight="1" x14ac:dyDescent="0.2">
      <c r="A455" t="s">
        <v>2357</v>
      </c>
      <c r="B455" t="s">
        <v>3502</v>
      </c>
      <c r="E455" t="s">
        <v>870</v>
      </c>
      <c r="F455" t="s">
        <v>4989</v>
      </c>
      <c r="G455" t="s">
        <v>871</v>
      </c>
      <c r="H455" t="s">
        <v>4990</v>
      </c>
    </row>
    <row r="456" spans="1:8" ht="14" customHeight="1" x14ac:dyDescent="0.2">
      <c r="A456" t="s">
        <v>2358</v>
      </c>
      <c r="B456" t="s">
        <v>3503</v>
      </c>
      <c r="E456" t="s">
        <v>872</v>
      </c>
      <c r="F456" t="s">
        <v>4991</v>
      </c>
      <c r="G456" t="s">
        <v>873</v>
      </c>
      <c r="H456" t="s">
        <v>4992</v>
      </c>
    </row>
    <row r="457" spans="1:8" ht="14" customHeight="1" x14ac:dyDescent="0.2">
      <c r="A457" t="s">
        <v>2359</v>
      </c>
      <c r="B457" t="s">
        <v>3504</v>
      </c>
      <c r="E457" s="1" t="s">
        <v>874</v>
      </c>
      <c r="F457" t="s">
        <v>4993</v>
      </c>
      <c r="G457" t="s">
        <v>875</v>
      </c>
      <c r="H457" t="s">
        <v>4994</v>
      </c>
    </row>
    <row r="458" spans="1:8" ht="14" customHeight="1" x14ac:dyDescent="0.2">
      <c r="A458" t="s">
        <v>2360</v>
      </c>
      <c r="B458" t="s">
        <v>3505</v>
      </c>
      <c r="E458" t="s">
        <v>876</v>
      </c>
      <c r="F458" t="s">
        <v>4995</v>
      </c>
      <c r="G458" t="s">
        <v>877</v>
      </c>
      <c r="H458" t="s">
        <v>4996</v>
      </c>
    </row>
    <row r="459" spans="1:8" ht="14" customHeight="1" x14ac:dyDescent="0.2">
      <c r="A459" t="s">
        <v>2361</v>
      </c>
      <c r="B459" t="s">
        <v>3506</v>
      </c>
      <c r="E459" t="s">
        <v>878</v>
      </c>
      <c r="F459" t="s">
        <v>4997</v>
      </c>
      <c r="G459" s="1" t="s">
        <v>879</v>
      </c>
      <c r="H459" t="s">
        <v>4998</v>
      </c>
    </row>
    <row r="460" spans="1:8" ht="14" customHeight="1" x14ac:dyDescent="0.2">
      <c r="A460" t="s">
        <v>2362</v>
      </c>
      <c r="B460" t="s">
        <v>3507</v>
      </c>
      <c r="E460" t="s">
        <v>880</v>
      </c>
      <c r="F460" t="s">
        <v>880</v>
      </c>
      <c r="G460" t="s">
        <v>881</v>
      </c>
      <c r="H460" t="s">
        <v>4999</v>
      </c>
    </row>
    <row r="461" spans="1:8" ht="14" customHeight="1" x14ac:dyDescent="0.2">
      <c r="A461" t="s">
        <v>2363</v>
      </c>
      <c r="B461" t="s">
        <v>2363</v>
      </c>
      <c r="E461" t="s">
        <v>882</v>
      </c>
      <c r="F461" t="s">
        <v>882</v>
      </c>
      <c r="G461" t="s">
        <v>883</v>
      </c>
      <c r="H461" t="s">
        <v>5000</v>
      </c>
    </row>
    <row r="462" spans="1:8" ht="14" customHeight="1" x14ac:dyDescent="0.2">
      <c r="A462" t="s">
        <v>2364</v>
      </c>
      <c r="B462" t="s">
        <v>3508</v>
      </c>
      <c r="C462" t="s">
        <v>3042</v>
      </c>
      <c r="D462" t="s">
        <v>4043</v>
      </c>
      <c r="E462" t="s">
        <v>884</v>
      </c>
      <c r="F462" t="s">
        <v>5001</v>
      </c>
      <c r="G462" s="1" t="s">
        <v>885</v>
      </c>
      <c r="H462" t="s">
        <v>5002</v>
      </c>
    </row>
    <row r="463" spans="1:8" ht="14" customHeight="1" x14ac:dyDescent="0.2">
      <c r="A463" t="s">
        <v>2365</v>
      </c>
      <c r="B463" t="s">
        <v>3509</v>
      </c>
      <c r="E463" t="s">
        <v>886</v>
      </c>
      <c r="F463" t="s">
        <v>5003</v>
      </c>
      <c r="G463" t="s">
        <v>887</v>
      </c>
    </row>
    <row r="464" spans="1:8" ht="14" customHeight="1" x14ac:dyDescent="0.2">
      <c r="A464" t="s">
        <v>2366</v>
      </c>
      <c r="B464" t="s">
        <v>3510</v>
      </c>
      <c r="C464" t="s">
        <v>3043</v>
      </c>
      <c r="D464" t="s">
        <v>4044</v>
      </c>
      <c r="E464" t="s">
        <v>888</v>
      </c>
      <c r="F464" t="s">
        <v>5004</v>
      </c>
      <c r="G464" t="s">
        <v>889</v>
      </c>
      <c r="H464" t="s">
        <v>5005</v>
      </c>
    </row>
    <row r="465" spans="1:8" ht="14" customHeight="1" x14ac:dyDescent="0.2">
      <c r="A465" t="s">
        <v>2367</v>
      </c>
      <c r="B465" t="s">
        <v>3511</v>
      </c>
      <c r="C465" t="s">
        <v>3044</v>
      </c>
      <c r="D465" t="s">
        <v>3044</v>
      </c>
      <c r="E465" t="s">
        <v>890</v>
      </c>
      <c r="G465" t="s">
        <v>891</v>
      </c>
      <c r="H465" t="s">
        <v>5006</v>
      </c>
    </row>
    <row r="466" spans="1:8" ht="14" customHeight="1" x14ac:dyDescent="0.2">
      <c r="A466" t="s">
        <v>2368</v>
      </c>
      <c r="B466" t="s">
        <v>3512</v>
      </c>
      <c r="C466" t="s">
        <v>3045</v>
      </c>
      <c r="D466" t="s">
        <v>4045</v>
      </c>
      <c r="E466" s="1" t="s">
        <v>892</v>
      </c>
      <c r="F466" t="s">
        <v>5007</v>
      </c>
      <c r="G466" t="s">
        <v>893</v>
      </c>
      <c r="H466" t="s">
        <v>5008</v>
      </c>
    </row>
    <row r="467" spans="1:8" ht="14" customHeight="1" x14ac:dyDescent="0.2">
      <c r="A467" t="s">
        <v>2369</v>
      </c>
      <c r="B467" t="s">
        <v>2369</v>
      </c>
      <c r="C467" t="s">
        <v>3046</v>
      </c>
      <c r="D467" t="s">
        <v>4046</v>
      </c>
      <c r="E467" t="s">
        <v>894</v>
      </c>
      <c r="F467" t="s">
        <v>5009</v>
      </c>
      <c r="G467" t="s">
        <v>895</v>
      </c>
      <c r="H467" t="s">
        <v>5010</v>
      </c>
    </row>
    <row r="468" spans="1:8" ht="14" customHeight="1" x14ac:dyDescent="0.2">
      <c r="A468" t="s">
        <v>2370</v>
      </c>
      <c r="B468" t="s">
        <v>3513</v>
      </c>
      <c r="C468" t="s">
        <v>3047</v>
      </c>
      <c r="D468" t="s">
        <v>4047</v>
      </c>
      <c r="E468" s="1" t="s">
        <v>896</v>
      </c>
      <c r="F468" t="s">
        <v>5011</v>
      </c>
      <c r="G468" s="1" t="s">
        <v>897</v>
      </c>
      <c r="H468" t="s">
        <v>5012</v>
      </c>
    </row>
    <row r="469" spans="1:8" ht="14" customHeight="1" x14ac:dyDescent="0.2">
      <c r="A469" t="s">
        <v>2371</v>
      </c>
      <c r="B469" t="s">
        <v>3514</v>
      </c>
      <c r="C469" t="s">
        <v>3048</v>
      </c>
      <c r="E469" t="s">
        <v>898</v>
      </c>
      <c r="F469" t="s">
        <v>5013</v>
      </c>
      <c r="G469" s="1" t="s">
        <v>899</v>
      </c>
      <c r="H469" t="s">
        <v>5014</v>
      </c>
    </row>
    <row r="470" spans="1:8" ht="14" customHeight="1" x14ac:dyDescent="0.2">
      <c r="A470" t="s">
        <v>2372</v>
      </c>
      <c r="B470" t="s">
        <v>3515</v>
      </c>
      <c r="C470" t="s">
        <v>3049</v>
      </c>
      <c r="D470" t="s">
        <v>4048</v>
      </c>
      <c r="E470" s="1" t="s">
        <v>900</v>
      </c>
      <c r="F470" t="s">
        <v>5015</v>
      </c>
      <c r="G470" s="1" t="s">
        <v>901</v>
      </c>
      <c r="H470" t="s">
        <v>5016</v>
      </c>
    </row>
    <row r="471" spans="1:8" ht="14" customHeight="1" x14ac:dyDescent="0.2">
      <c r="A471" t="s">
        <v>2373</v>
      </c>
      <c r="B471" t="s">
        <v>3516</v>
      </c>
      <c r="C471" s="1" t="s">
        <v>3050</v>
      </c>
      <c r="D471" t="s">
        <v>4049</v>
      </c>
      <c r="E471" s="1" t="s">
        <v>902</v>
      </c>
      <c r="F471" t="s">
        <v>5017</v>
      </c>
      <c r="G471" s="1" t="s">
        <v>903</v>
      </c>
      <c r="H471" t="s">
        <v>5018</v>
      </c>
    </row>
    <row r="472" spans="1:8" ht="14" customHeight="1" x14ac:dyDescent="0.2">
      <c r="A472" t="s">
        <v>2374</v>
      </c>
      <c r="C472" t="s">
        <v>3051</v>
      </c>
      <c r="E472" t="s">
        <v>904</v>
      </c>
      <c r="F472" t="s">
        <v>5019</v>
      </c>
      <c r="G472" t="s">
        <v>905</v>
      </c>
      <c r="H472" t="s">
        <v>5020</v>
      </c>
    </row>
    <row r="473" spans="1:8" ht="14" customHeight="1" x14ac:dyDescent="0.2">
      <c r="A473" t="s">
        <v>2375</v>
      </c>
      <c r="B473" t="s">
        <v>3517</v>
      </c>
      <c r="E473" t="s">
        <v>906</v>
      </c>
      <c r="F473" t="s">
        <v>5021</v>
      </c>
      <c r="G473" t="s">
        <v>907</v>
      </c>
      <c r="H473" t="s">
        <v>5022</v>
      </c>
    </row>
    <row r="474" spans="1:8" ht="14" customHeight="1" x14ac:dyDescent="0.2">
      <c r="A474" t="s">
        <v>2376</v>
      </c>
      <c r="B474" t="s">
        <v>3518</v>
      </c>
      <c r="C474" t="s">
        <v>3052</v>
      </c>
      <c r="D474" t="s">
        <v>3052</v>
      </c>
      <c r="E474" t="s">
        <v>908</v>
      </c>
      <c r="F474" t="s">
        <v>908</v>
      </c>
      <c r="G474" t="s">
        <v>909</v>
      </c>
      <c r="H474" t="s">
        <v>5023</v>
      </c>
    </row>
    <row r="475" spans="1:8" ht="14" customHeight="1" x14ac:dyDescent="0.2">
      <c r="A475" s="4" t="s">
        <v>2377</v>
      </c>
      <c r="B475" s="4" t="s">
        <v>2377</v>
      </c>
      <c r="C475" t="s">
        <v>3053</v>
      </c>
      <c r="D475" t="s">
        <v>4050</v>
      </c>
      <c r="E475" t="s">
        <v>910</v>
      </c>
      <c r="F475" t="s">
        <v>5024</v>
      </c>
      <c r="G475" t="s">
        <v>911</v>
      </c>
      <c r="H475" t="s">
        <v>5025</v>
      </c>
    </row>
    <row r="476" spans="1:8" ht="14" customHeight="1" x14ac:dyDescent="0.2">
      <c r="A476" t="s">
        <v>2378</v>
      </c>
      <c r="B476" t="s">
        <v>2378</v>
      </c>
      <c r="C476" t="s">
        <v>3054</v>
      </c>
      <c r="D476" t="s">
        <v>4051</v>
      </c>
      <c r="E476" t="s">
        <v>912</v>
      </c>
      <c r="F476" t="s">
        <v>5026</v>
      </c>
      <c r="G476" t="s">
        <v>913</v>
      </c>
      <c r="H476" t="s">
        <v>5027</v>
      </c>
    </row>
    <row r="477" spans="1:8" ht="14" customHeight="1" x14ac:dyDescent="0.2">
      <c r="A477" t="s">
        <v>2379</v>
      </c>
      <c r="B477" t="s">
        <v>3519</v>
      </c>
      <c r="C477" t="s">
        <v>3055</v>
      </c>
      <c r="D477" t="s">
        <v>4052</v>
      </c>
      <c r="E477" t="s">
        <v>914</v>
      </c>
      <c r="F477" t="s">
        <v>914</v>
      </c>
      <c r="G477" t="s">
        <v>915</v>
      </c>
      <c r="H477" t="s">
        <v>5028</v>
      </c>
    </row>
    <row r="478" spans="1:8" ht="14" customHeight="1" x14ac:dyDescent="0.2">
      <c r="A478" t="s">
        <v>2380</v>
      </c>
      <c r="B478" t="s">
        <v>2380</v>
      </c>
      <c r="C478" t="s">
        <v>3056</v>
      </c>
      <c r="D478" t="s">
        <v>4053</v>
      </c>
      <c r="E478" t="s">
        <v>916</v>
      </c>
      <c r="F478" t="s">
        <v>5029</v>
      </c>
      <c r="G478" t="s">
        <v>917</v>
      </c>
      <c r="H478" t="s">
        <v>5030</v>
      </c>
    </row>
    <row r="479" spans="1:8" ht="14" customHeight="1" x14ac:dyDescent="0.2">
      <c r="A479" t="s">
        <v>2381</v>
      </c>
      <c r="B479" t="s">
        <v>3520</v>
      </c>
      <c r="C479" t="s">
        <v>3057</v>
      </c>
      <c r="D479" t="s">
        <v>4054</v>
      </c>
      <c r="E479" t="s">
        <v>918</v>
      </c>
      <c r="F479" t="s">
        <v>5031</v>
      </c>
      <c r="G479" t="s">
        <v>919</v>
      </c>
      <c r="H479" t="s">
        <v>5032</v>
      </c>
    </row>
    <row r="480" spans="1:8" ht="14" customHeight="1" x14ac:dyDescent="0.2">
      <c r="A480" t="s">
        <v>2382</v>
      </c>
      <c r="B480" t="s">
        <v>3521</v>
      </c>
      <c r="C480" t="s">
        <v>3058</v>
      </c>
      <c r="D480" t="s">
        <v>4055</v>
      </c>
      <c r="E480" t="s">
        <v>920</v>
      </c>
      <c r="F480" t="s">
        <v>5033</v>
      </c>
      <c r="G480" t="s">
        <v>921</v>
      </c>
      <c r="H480" t="s">
        <v>5034</v>
      </c>
    </row>
    <row r="481" spans="1:8" ht="14" customHeight="1" x14ac:dyDescent="0.2">
      <c r="A481" t="s">
        <v>2383</v>
      </c>
      <c r="B481" t="s">
        <v>3522</v>
      </c>
      <c r="C481" t="s">
        <v>3059</v>
      </c>
      <c r="D481" t="s">
        <v>4056</v>
      </c>
      <c r="E481" t="s">
        <v>922</v>
      </c>
      <c r="F481" t="s">
        <v>5035</v>
      </c>
      <c r="G481" t="s">
        <v>923</v>
      </c>
      <c r="H481" t="s">
        <v>5036</v>
      </c>
    </row>
    <row r="482" spans="1:8" ht="14" customHeight="1" x14ac:dyDescent="0.2">
      <c r="A482" t="s">
        <v>2384</v>
      </c>
      <c r="B482" t="s">
        <v>3523</v>
      </c>
      <c r="E482" s="1" t="s">
        <v>924</v>
      </c>
      <c r="F482" t="s">
        <v>5037</v>
      </c>
      <c r="G482" s="1" t="s">
        <v>925</v>
      </c>
      <c r="H482" t="s">
        <v>5038</v>
      </c>
    </row>
    <row r="483" spans="1:8" ht="14" customHeight="1" x14ac:dyDescent="0.2">
      <c r="A483" t="s">
        <v>2385</v>
      </c>
      <c r="B483" t="s">
        <v>3524</v>
      </c>
      <c r="E483" t="e">
        <f>- very nice owners who care about employees.
- Lots of overtime available in this position.
- direct supervisor is very attentive and will help when he sees you are in need. he Cares about your success and Growth in the industry.
- co-workers are very nice - everyone seems to have similar mindsets.
- very fun atmosphere
- large cubicles and enough space For Personal space
- you will find yourself growing very quickly when you work hard and prove your worth.</f>
        <v>#NAME?</v>
      </c>
      <c r="F483" t="s">
        <v>5039</v>
      </c>
      <c r="G483" t="e">
        <f>- employee must be able to work in a fast-paced environment and be able to handle stress with ease.
- must have thick skin in industry</f>
        <v>#NAME?</v>
      </c>
      <c r="H483" t="s">
        <v>5040</v>
      </c>
    </row>
    <row r="484" spans="1:8" ht="14" customHeight="1" x14ac:dyDescent="0.2">
      <c r="A484" t="s">
        <v>2386</v>
      </c>
      <c r="B484" t="s">
        <v>3350</v>
      </c>
      <c r="E484" t="s">
        <v>926</v>
      </c>
      <c r="F484" t="s">
        <v>5041</v>
      </c>
      <c r="G484" t="s">
        <v>927</v>
      </c>
      <c r="H484" t="s">
        <v>5042</v>
      </c>
    </row>
    <row r="485" spans="1:8" ht="14" customHeight="1" x14ac:dyDescent="0.2">
      <c r="A485" t="s">
        <v>2387</v>
      </c>
      <c r="B485" t="s">
        <v>3525</v>
      </c>
      <c r="E485" s="1" t="s">
        <v>928</v>
      </c>
      <c r="F485" t="s">
        <v>5043</v>
      </c>
      <c r="G485" s="1" t="s">
        <v>929</v>
      </c>
      <c r="H485" t="s">
        <v>5044</v>
      </c>
    </row>
    <row r="486" spans="1:8" ht="14" customHeight="1" x14ac:dyDescent="0.2">
      <c r="A486" t="s">
        <v>2388</v>
      </c>
      <c r="B486" t="s">
        <v>3526</v>
      </c>
      <c r="E486" t="s">
        <v>930</v>
      </c>
      <c r="F486" t="s">
        <v>5045</v>
      </c>
      <c r="G486" t="s">
        <v>931</v>
      </c>
      <c r="H486" t="s">
        <v>5046</v>
      </c>
    </row>
    <row r="487" spans="1:8" ht="14" customHeight="1" x14ac:dyDescent="0.2">
      <c r="A487" t="s">
        <v>2389</v>
      </c>
      <c r="B487" t="s">
        <v>3527</v>
      </c>
      <c r="E487" t="e">
        <f>- Good pay but so is any other start-up Tech company in the US
- I think this company is perfect For fresh college graduates. Stay and learn here For a year or two.</f>
        <v>#NAME?</v>
      </c>
      <c r="F487" t="s">
        <v>5047</v>
      </c>
      <c r="G487" s="1" t="s">
        <v>932</v>
      </c>
      <c r="H487" t="s">
        <v>5048</v>
      </c>
    </row>
    <row r="488" spans="1:8" ht="14" customHeight="1" x14ac:dyDescent="0.2">
      <c r="A488" t="s">
        <v>2390</v>
      </c>
      <c r="B488" t="s">
        <v>2390</v>
      </c>
      <c r="E488" t="s">
        <v>933</v>
      </c>
      <c r="G488" t="s">
        <v>934</v>
      </c>
      <c r="H488" t="s">
        <v>5049</v>
      </c>
    </row>
    <row r="489" spans="1:8" ht="14" customHeight="1" x14ac:dyDescent="0.2">
      <c r="A489" t="s">
        <v>2391</v>
      </c>
      <c r="B489" t="s">
        <v>3528</v>
      </c>
      <c r="E489" s="1" t="s">
        <v>935</v>
      </c>
      <c r="F489" t="s">
        <v>5050</v>
      </c>
      <c r="G489" s="1" t="s">
        <v>936</v>
      </c>
      <c r="H489" t="s">
        <v>5051</v>
      </c>
    </row>
    <row r="490" spans="1:8" ht="14" customHeight="1" x14ac:dyDescent="0.2">
      <c r="A490" t="s">
        <v>2392</v>
      </c>
      <c r="B490" t="s">
        <v>3529</v>
      </c>
      <c r="E490" t="s">
        <v>937</v>
      </c>
      <c r="F490" t="s">
        <v>5052</v>
      </c>
      <c r="G490" s="1" t="s">
        <v>938</v>
      </c>
      <c r="H490" t="s">
        <v>5053</v>
      </c>
    </row>
    <row r="491" spans="1:8" ht="14" customHeight="1" x14ac:dyDescent="0.2">
      <c r="A491" t="s">
        <v>2393</v>
      </c>
      <c r="B491" t="s">
        <v>2393</v>
      </c>
      <c r="E491" t="s">
        <v>939</v>
      </c>
      <c r="F491" t="s">
        <v>5054</v>
      </c>
      <c r="G491" s="1" t="s">
        <v>940</v>
      </c>
      <c r="H491" t="s">
        <v>5055</v>
      </c>
    </row>
    <row r="492" spans="1:8" ht="14" customHeight="1" x14ac:dyDescent="0.2">
      <c r="A492" t="s">
        <v>2394</v>
      </c>
      <c r="B492" t="s">
        <v>3530</v>
      </c>
      <c r="E492" t="s">
        <v>941</v>
      </c>
      <c r="F492" t="s">
        <v>5056</v>
      </c>
      <c r="G492" t="s">
        <v>942</v>
      </c>
    </row>
    <row r="493" spans="1:8" ht="14" customHeight="1" x14ac:dyDescent="0.2">
      <c r="A493" t="s">
        <v>2395</v>
      </c>
      <c r="B493" t="s">
        <v>3531</v>
      </c>
      <c r="C493" s="1" t="s">
        <v>3060</v>
      </c>
      <c r="D493" t="s">
        <v>4057</v>
      </c>
      <c r="E493" t="s">
        <v>943</v>
      </c>
      <c r="F493" t="s">
        <v>5057</v>
      </c>
      <c r="G493" s="1" t="s">
        <v>944</v>
      </c>
      <c r="H493" t="s">
        <v>5058</v>
      </c>
    </row>
    <row r="494" spans="1:8" ht="14" customHeight="1" x14ac:dyDescent="0.2">
      <c r="A494" t="s">
        <v>2396</v>
      </c>
      <c r="B494" t="s">
        <v>3532</v>
      </c>
      <c r="C494" t="s">
        <v>3061</v>
      </c>
      <c r="D494" t="s">
        <v>4058</v>
      </c>
      <c r="E494" t="s">
        <v>945</v>
      </c>
      <c r="F494" t="s">
        <v>945</v>
      </c>
      <c r="G494" t="s">
        <v>946</v>
      </c>
      <c r="H494" t="s">
        <v>5059</v>
      </c>
    </row>
    <row r="495" spans="1:8" ht="14" customHeight="1" x14ac:dyDescent="0.2">
      <c r="A495" t="s">
        <v>2397</v>
      </c>
      <c r="B495" t="s">
        <v>3533</v>
      </c>
      <c r="E495" t="s">
        <v>947</v>
      </c>
      <c r="F495" t="s">
        <v>5060</v>
      </c>
      <c r="G495" t="s">
        <v>948</v>
      </c>
      <c r="H495" t="s">
        <v>5061</v>
      </c>
    </row>
    <row r="496" spans="1:8" ht="14" customHeight="1" x14ac:dyDescent="0.2">
      <c r="A496" t="s">
        <v>2398</v>
      </c>
      <c r="B496" t="s">
        <v>2398</v>
      </c>
      <c r="E496" t="s">
        <v>949</v>
      </c>
      <c r="F496" t="s">
        <v>5062</v>
      </c>
      <c r="G496" s="1" t="s">
        <v>950</v>
      </c>
      <c r="H496" t="s">
        <v>5063</v>
      </c>
    </row>
    <row r="497" spans="1:8" ht="14" customHeight="1" x14ac:dyDescent="0.2">
      <c r="E497" t="s">
        <v>951</v>
      </c>
      <c r="F497" t="s">
        <v>5064</v>
      </c>
      <c r="G497" t="s">
        <v>952</v>
      </c>
      <c r="H497" t="s">
        <v>5065</v>
      </c>
    </row>
    <row r="498" spans="1:8" ht="14" customHeight="1" x14ac:dyDescent="0.2">
      <c r="A498" t="s">
        <v>2399</v>
      </c>
      <c r="B498" t="s">
        <v>3534</v>
      </c>
      <c r="E498" t="s">
        <v>953</v>
      </c>
      <c r="F498" t="s">
        <v>5066</v>
      </c>
      <c r="G498" t="s">
        <v>954</v>
      </c>
      <c r="H498" t="s">
        <v>5067</v>
      </c>
    </row>
    <row r="499" spans="1:8" ht="14" customHeight="1" x14ac:dyDescent="0.2">
      <c r="A499" t="s">
        <v>2400</v>
      </c>
      <c r="B499" t="s">
        <v>3535</v>
      </c>
      <c r="E499" t="s">
        <v>955</v>
      </c>
      <c r="F499" t="s">
        <v>5068</v>
      </c>
      <c r="G499" s="1" t="s">
        <v>956</v>
      </c>
      <c r="H499" t="s">
        <v>5069</v>
      </c>
    </row>
    <row r="500" spans="1:8" ht="14" customHeight="1" x14ac:dyDescent="0.2">
      <c r="A500" t="s">
        <v>2401</v>
      </c>
      <c r="B500" t="s">
        <v>3536</v>
      </c>
      <c r="E500" t="s">
        <v>957</v>
      </c>
      <c r="F500" t="s">
        <v>5070</v>
      </c>
      <c r="G500" t="s">
        <v>958</v>
      </c>
    </row>
    <row r="501" spans="1:8" ht="14" customHeight="1" x14ac:dyDescent="0.2">
      <c r="A501" t="s">
        <v>2402</v>
      </c>
      <c r="B501" t="s">
        <v>3537</v>
      </c>
      <c r="E501" s="1" t="s">
        <v>959</v>
      </c>
      <c r="F501" t="s">
        <v>5071</v>
      </c>
      <c r="G501" s="1" t="s">
        <v>960</v>
      </c>
      <c r="H501" t="s">
        <v>5072</v>
      </c>
    </row>
    <row r="502" spans="1:8" ht="14" customHeight="1" x14ac:dyDescent="0.2">
      <c r="A502" t="s">
        <v>2403</v>
      </c>
      <c r="B502" t="s">
        <v>3538</v>
      </c>
      <c r="E502" t="s">
        <v>961</v>
      </c>
      <c r="F502" t="s">
        <v>5073</v>
      </c>
      <c r="G502" t="s">
        <v>962</v>
      </c>
      <c r="H502" t="s">
        <v>5074</v>
      </c>
    </row>
    <row r="503" spans="1:8" ht="14" customHeight="1" x14ac:dyDescent="0.2">
      <c r="A503" t="s">
        <v>2404</v>
      </c>
      <c r="B503" t="s">
        <v>3539</v>
      </c>
      <c r="E503" t="s">
        <v>963</v>
      </c>
      <c r="F503" t="s">
        <v>5075</v>
      </c>
      <c r="G503" s="1" t="s">
        <v>964</v>
      </c>
      <c r="H503" t="s">
        <v>5076</v>
      </c>
    </row>
    <row r="504" spans="1:8" ht="14" customHeight="1" x14ac:dyDescent="0.2">
      <c r="A504" t="s">
        <v>2405</v>
      </c>
      <c r="B504" t="s">
        <v>3540</v>
      </c>
      <c r="E504" s="1" t="s">
        <v>965</v>
      </c>
      <c r="F504" t="s">
        <v>5077</v>
      </c>
      <c r="G504" s="1" t="s">
        <v>966</v>
      </c>
      <c r="H504" t="s">
        <v>5078</v>
      </c>
    </row>
    <row r="505" spans="1:8" ht="14" customHeight="1" x14ac:dyDescent="0.2">
      <c r="A505" t="s">
        <v>2406</v>
      </c>
      <c r="B505" t="s">
        <v>3541</v>
      </c>
      <c r="E505" t="s">
        <v>967</v>
      </c>
      <c r="F505" t="s">
        <v>5079</v>
      </c>
      <c r="G505" t="s">
        <v>968</v>
      </c>
      <c r="H505" t="s">
        <v>5080</v>
      </c>
    </row>
    <row r="506" spans="1:8" ht="14" customHeight="1" x14ac:dyDescent="0.2">
      <c r="A506" t="s">
        <v>2407</v>
      </c>
      <c r="B506" t="s">
        <v>3542</v>
      </c>
      <c r="E506" t="s">
        <v>969</v>
      </c>
      <c r="F506" t="s">
        <v>5081</v>
      </c>
      <c r="G506" t="s">
        <v>970</v>
      </c>
      <c r="H506" t="s">
        <v>5082</v>
      </c>
    </row>
    <row r="507" spans="1:8" ht="14" customHeight="1" x14ac:dyDescent="0.2">
      <c r="A507" t="s">
        <v>2408</v>
      </c>
      <c r="B507" t="s">
        <v>3543</v>
      </c>
      <c r="E507" t="s">
        <v>971</v>
      </c>
      <c r="F507" t="s">
        <v>5083</v>
      </c>
      <c r="G507" t="s">
        <v>972</v>
      </c>
      <c r="H507" t="s">
        <v>5084</v>
      </c>
    </row>
    <row r="508" spans="1:8" ht="14" customHeight="1" x14ac:dyDescent="0.2">
      <c r="A508" t="s">
        <v>2409</v>
      </c>
      <c r="B508" t="s">
        <v>3544</v>
      </c>
      <c r="E508" t="s">
        <v>973</v>
      </c>
      <c r="F508" t="s">
        <v>5085</v>
      </c>
      <c r="G508" t="s">
        <v>974</v>
      </c>
      <c r="H508" t="s">
        <v>5086</v>
      </c>
    </row>
    <row r="509" spans="1:8" ht="14" customHeight="1" x14ac:dyDescent="0.2">
      <c r="A509" t="s">
        <v>2410</v>
      </c>
      <c r="B509" t="s">
        <v>3545</v>
      </c>
      <c r="E509" t="s">
        <v>975</v>
      </c>
      <c r="F509" t="s">
        <v>5087</v>
      </c>
      <c r="G509" t="e">
        <f>- Micromanaging CEO
- No work ethics
- if you are of a certain dominant linguistic group, you will do Good otherwise you have No value in the company.
- hard work and loyalty has No value in this company
- CEO has No respect For his employee</f>
        <v>#NAME?</v>
      </c>
      <c r="H509" t="s">
        <v>5088</v>
      </c>
    </row>
    <row r="510" spans="1:8" ht="14" customHeight="1" x14ac:dyDescent="0.2">
      <c r="A510" t="s">
        <v>2411</v>
      </c>
      <c r="B510" t="s">
        <v>3546</v>
      </c>
      <c r="E510" s="1" t="s">
        <v>976</v>
      </c>
      <c r="F510" t="s">
        <v>5089</v>
      </c>
      <c r="G510" s="1" t="s">
        <v>977</v>
      </c>
      <c r="H510" t="s">
        <v>5090</v>
      </c>
    </row>
    <row r="511" spans="1:8" ht="14" customHeight="1" x14ac:dyDescent="0.2">
      <c r="A511" t="s">
        <v>2412</v>
      </c>
      <c r="B511" t="s">
        <v>3547</v>
      </c>
      <c r="E511" t="s">
        <v>978</v>
      </c>
      <c r="F511" t="s">
        <v>5091</v>
      </c>
      <c r="G511" t="s">
        <v>979</v>
      </c>
      <c r="H511" t="s">
        <v>5092</v>
      </c>
    </row>
    <row r="512" spans="1:8" ht="14" customHeight="1" x14ac:dyDescent="0.2">
      <c r="A512" t="s">
        <v>2413</v>
      </c>
      <c r="B512" t="s">
        <v>3548</v>
      </c>
      <c r="C512" t="s">
        <v>3062</v>
      </c>
      <c r="D512" t="s">
        <v>4059</v>
      </c>
      <c r="E512" s="1" t="s">
        <v>980</v>
      </c>
      <c r="F512" t="s">
        <v>5093</v>
      </c>
      <c r="G512" s="1" t="s">
        <v>981</v>
      </c>
      <c r="H512" t="s">
        <v>5094</v>
      </c>
    </row>
    <row r="513" spans="1:8" ht="14" customHeight="1" x14ac:dyDescent="0.2">
      <c r="A513" t="s">
        <v>2414</v>
      </c>
      <c r="B513" t="s">
        <v>3549</v>
      </c>
      <c r="E513" t="s">
        <v>982</v>
      </c>
      <c r="F513" t="s">
        <v>5095</v>
      </c>
      <c r="G513" t="s">
        <v>983</v>
      </c>
      <c r="H513" t="s">
        <v>5096</v>
      </c>
    </row>
    <row r="514" spans="1:8" ht="14" customHeight="1" x14ac:dyDescent="0.2">
      <c r="A514" t="s">
        <v>2415</v>
      </c>
      <c r="B514" t="s">
        <v>3550</v>
      </c>
      <c r="E514" t="s">
        <v>984</v>
      </c>
      <c r="F514" t="s">
        <v>5097</v>
      </c>
      <c r="G514" t="s">
        <v>985</v>
      </c>
      <c r="H514" t="s">
        <v>5098</v>
      </c>
    </row>
    <row r="515" spans="1:8" ht="14" customHeight="1" x14ac:dyDescent="0.2">
      <c r="A515" t="s">
        <v>2416</v>
      </c>
      <c r="B515" t="s">
        <v>3551</v>
      </c>
      <c r="E515" t="s">
        <v>986</v>
      </c>
      <c r="F515" t="s">
        <v>5099</v>
      </c>
      <c r="G515" t="s">
        <v>987</v>
      </c>
      <c r="H515" t="s">
        <v>5100</v>
      </c>
    </row>
    <row r="516" spans="1:8" ht="14" customHeight="1" x14ac:dyDescent="0.2">
      <c r="A516" t="s">
        <v>2417</v>
      </c>
      <c r="B516" t="s">
        <v>3552</v>
      </c>
      <c r="E516" t="s">
        <v>988</v>
      </c>
      <c r="F516" t="s">
        <v>5101</v>
      </c>
      <c r="G516" t="s">
        <v>989</v>
      </c>
      <c r="H516" t="s">
        <v>5102</v>
      </c>
    </row>
    <row r="517" spans="1:8" ht="14" customHeight="1" x14ac:dyDescent="0.2">
      <c r="A517" t="s">
        <v>2418</v>
      </c>
      <c r="B517" t="s">
        <v>3553</v>
      </c>
      <c r="E517" t="s">
        <v>990</v>
      </c>
      <c r="F517" t="s">
        <v>5103</v>
      </c>
      <c r="G517" t="s">
        <v>991</v>
      </c>
      <c r="H517" t="s">
        <v>5104</v>
      </c>
    </row>
    <row r="518" spans="1:8" ht="14" customHeight="1" x14ac:dyDescent="0.2">
      <c r="A518" t="s">
        <v>2419</v>
      </c>
      <c r="B518" t="s">
        <v>3554</v>
      </c>
      <c r="E518" t="s">
        <v>992</v>
      </c>
      <c r="F518" t="s">
        <v>5105</v>
      </c>
      <c r="G518" t="s">
        <v>993</v>
      </c>
      <c r="H518" t="s">
        <v>5106</v>
      </c>
    </row>
    <row r="519" spans="1:8" ht="14" customHeight="1" x14ac:dyDescent="0.2">
      <c r="A519" t="s">
        <v>2420</v>
      </c>
      <c r="B519" t="s">
        <v>3555</v>
      </c>
      <c r="E519" t="s">
        <v>994</v>
      </c>
      <c r="F519" t="s">
        <v>5107</v>
      </c>
      <c r="G519" t="s">
        <v>995</v>
      </c>
      <c r="H519" t="s">
        <v>5108</v>
      </c>
    </row>
    <row r="520" spans="1:8" ht="14" customHeight="1" x14ac:dyDescent="0.2">
      <c r="A520" t="s">
        <v>2421</v>
      </c>
      <c r="B520" t="s">
        <v>3556</v>
      </c>
      <c r="E520" t="s">
        <v>996</v>
      </c>
      <c r="F520" t="s">
        <v>5109</v>
      </c>
      <c r="G520" t="s">
        <v>997</v>
      </c>
      <c r="H520" t="s">
        <v>5110</v>
      </c>
    </row>
    <row r="521" spans="1:8" ht="14" customHeight="1" x14ac:dyDescent="0.2">
      <c r="A521" t="s">
        <v>2422</v>
      </c>
      <c r="B521" t="s">
        <v>3557</v>
      </c>
      <c r="E521" t="s">
        <v>998</v>
      </c>
      <c r="F521" t="s">
        <v>5111</v>
      </c>
      <c r="G521" t="s">
        <v>999</v>
      </c>
      <c r="H521" t="s">
        <v>5112</v>
      </c>
    </row>
    <row r="522" spans="1:8" ht="14" customHeight="1" x14ac:dyDescent="0.2">
      <c r="A522" t="s">
        <v>2423</v>
      </c>
      <c r="B522" t="s">
        <v>3558</v>
      </c>
      <c r="E522" s="1" t="s">
        <v>1000</v>
      </c>
      <c r="F522" t="s">
        <v>5113</v>
      </c>
      <c r="G522" s="1" t="s">
        <v>1001</v>
      </c>
      <c r="H522" t="s">
        <v>5114</v>
      </c>
    </row>
    <row r="523" spans="1:8" ht="14" customHeight="1" x14ac:dyDescent="0.2">
      <c r="A523" t="s">
        <v>2424</v>
      </c>
      <c r="B523" t="s">
        <v>3559</v>
      </c>
      <c r="E523" t="s">
        <v>1002</v>
      </c>
      <c r="F523" t="s">
        <v>5115</v>
      </c>
      <c r="G523" t="s">
        <v>1003</v>
      </c>
      <c r="H523" t="s">
        <v>5116</v>
      </c>
    </row>
    <row r="524" spans="1:8" ht="14" customHeight="1" x14ac:dyDescent="0.2">
      <c r="A524" t="s">
        <v>2425</v>
      </c>
      <c r="B524" t="s">
        <v>3560</v>
      </c>
      <c r="E524" t="s">
        <v>1004</v>
      </c>
      <c r="F524" t="s">
        <v>5117</v>
      </c>
      <c r="G524" s="1" t="s">
        <v>1005</v>
      </c>
      <c r="H524" t="s">
        <v>5118</v>
      </c>
    </row>
    <row r="525" spans="1:8" ht="14" customHeight="1" x14ac:dyDescent="0.2">
      <c r="A525" t="s">
        <v>2426</v>
      </c>
      <c r="B525" t="s">
        <v>3561</v>
      </c>
      <c r="E525" t="s">
        <v>1006</v>
      </c>
      <c r="F525" t="s">
        <v>5119</v>
      </c>
      <c r="G525" s="1" t="s">
        <v>1007</v>
      </c>
      <c r="H525" t="s">
        <v>5120</v>
      </c>
    </row>
    <row r="526" spans="1:8" ht="14" customHeight="1" x14ac:dyDescent="0.2">
      <c r="A526" t="s">
        <v>2427</v>
      </c>
      <c r="B526" t="s">
        <v>3562</v>
      </c>
      <c r="E526" t="e">
        <f>- Insane Incentives
- great opportunities For Progression
- Networking is strongly encouraged
- large client Exposure allowing you to guide your career and expose yourself to as many industries as you want
                                                                                                                                                                                                                                                                Sad to leave the company (had to return home)</f>
        <v>#NAME?</v>
      </c>
      <c r="F526" t="s">
        <v>5121</v>
      </c>
      <c r="G526" t="e">
        <f>- Significant amount of Incentives can be challenging to monitor. this may result in falling short on some due to missed opportunities
- hours can be Long at times but Incentives more then make up For it (work hard, play hard)</f>
        <v>#NAME?</v>
      </c>
      <c r="H526" t="s">
        <v>5122</v>
      </c>
    </row>
    <row r="527" spans="1:8" ht="14" customHeight="1" x14ac:dyDescent="0.2">
      <c r="A527" t="s">
        <v>2428</v>
      </c>
      <c r="B527" t="s">
        <v>3563</v>
      </c>
      <c r="C527" s="1" t="s">
        <v>3063</v>
      </c>
      <c r="D527" t="s">
        <v>4060</v>
      </c>
      <c r="E527" s="1" t="s">
        <v>1008</v>
      </c>
      <c r="F527" t="s">
        <v>5123</v>
      </c>
      <c r="G527" s="1" t="s">
        <v>1009</v>
      </c>
      <c r="H527" t="s">
        <v>5124</v>
      </c>
    </row>
    <row r="528" spans="1:8" ht="14" customHeight="1" x14ac:dyDescent="0.2">
      <c r="A528" t="s">
        <v>2429</v>
      </c>
      <c r="B528" t="s">
        <v>3564</v>
      </c>
      <c r="E528" t="s">
        <v>1010</v>
      </c>
      <c r="F528" t="s">
        <v>5125</v>
      </c>
      <c r="G528" t="s">
        <v>1011</v>
      </c>
      <c r="H528" t="s">
        <v>5126</v>
      </c>
    </row>
    <row r="529" spans="1:8" ht="14" customHeight="1" x14ac:dyDescent="0.2">
      <c r="A529" t="s">
        <v>2430</v>
      </c>
      <c r="B529" t="s">
        <v>3565</v>
      </c>
      <c r="E529" t="s">
        <v>1012</v>
      </c>
      <c r="F529" t="s">
        <v>5127</v>
      </c>
      <c r="G529" t="s">
        <v>1013</v>
      </c>
      <c r="H529" t="s">
        <v>5128</v>
      </c>
    </row>
    <row r="530" spans="1:8" ht="14" customHeight="1" x14ac:dyDescent="0.2">
      <c r="A530" t="s">
        <v>2431</v>
      </c>
      <c r="B530" t="s">
        <v>3566</v>
      </c>
      <c r="C530" t="s">
        <v>3064</v>
      </c>
      <c r="D530" t="s">
        <v>4061</v>
      </c>
      <c r="E530" t="s">
        <v>1014</v>
      </c>
      <c r="F530" t="s">
        <v>5129</v>
      </c>
      <c r="G530" t="s">
        <v>1015</v>
      </c>
      <c r="H530" t="s">
        <v>5130</v>
      </c>
    </row>
    <row r="531" spans="1:8" ht="14" customHeight="1" x14ac:dyDescent="0.2">
      <c r="A531" t="s">
        <v>2432</v>
      </c>
      <c r="B531" t="s">
        <v>3567</v>
      </c>
      <c r="C531" t="s">
        <v>3065</v>
      </c>
      <c r="D531" t="s">
        <v>4062</v>
      </c>
      <c r="E531" t="s">
        <v>1016</v>
      </c>
      <c r="F531" t="s">
        <v>5131</v>
      </c>
      <c r="G531" t="s">
        <v>1017</v>
      </c>
      <c r="H531" t="s">
        <v>5132</v>
      </c>
    </row>
    <row r="532" spans="1:8" ht="14" customHeight="1" x14ac:dyDescent="0.2">
      <c r="A532" t="s">
        <v>2433</v>
      </c>
      <c r="B532" t="s">
        <v>3568</v>
      </c>
      <c r="C532" t="s">
        <v>3066</v>
      </c>
      <c r="D532" t="s">
        <v>4063</v>
      </c>
      <c r="E532" t="e">
        <f>-remote work
-Kind it staff</f>
        <v>#NAME?</v>
      </c>
      <c r="F532" t="s">
        <v>5133</v>
      </c>
      <c r="G532" s="1" t="s">
        <v>1018</v>
      </c>
      <c r="H532" t="s">
        <v>5134</v>
      </c>
    </row>
    <row r="533" spans="1:8" ht="14" customHeight="1" x14ac:dyDescent="0.2">
      <c r="A533" t="s">
        <v>2255</v>
      </c>
      <c r="B533" t="s">
        <v>3442</v>
      </c>
      <c r="E533" t="s">
        <v>1019</v>
      </c>
      <c r="F533" t="s">
        <v>5135</v>
      </c>
      <c r="G533" t="s">
        <v>1020</v>
      </c>
      <c r="H533" t="s">
        <v>5136</v>
      </c>
    </row>
    <row r="534" spans="1:8" ht="14" customHeight="1" x14ac:dyDescent="0.2">
      <c r="A534" t="s">
        <v>2172</v>
      </c>
      <c r="B534" t="s">
        <v>3369</v>
      </c>
      <c r="E534" t="s">
        <v>1021</v>
      </c>
      <c r="F534" t="s">
        <v>1021</v>
      </c>
      <c r="G534" s="1" t="s">
        <v>1022</v>
      </c>
      <c r="H534" t="s">
        <v>5137</v>
      </c>
    </row>
    <row r="535" spans="1:8" ht="14" customHeight="1" x14ac:dyDescent="0.2">
      <c r="A535" t="s">
        <v>2434</v>
      </c>
      <c r="B535" t="s">
        <v>3409</v>
      </c>
      <c r="E535" t="s">
        <v>1023</v>
      </c>
      <c r="F535" t="s">
        <v>1023</v>
      </c>
      <c r="G535" t="s">
        <v>1024</v>
      </c>
      <c r="H535" t="s">
        <v>5138</v>
      </c>
    </row>
    <row r="536" spans="1:8" ht="14" customHeight="1" x14ac:dyDescent="0.2">
      <c r="A536" t="s">
        <v>2435</v>
      </c>
      <c r="B536" t="s">
        <v>3569</v>
      </c>
      <c r="E536" t="s">
        <v>1025</v>
      </c>
      <c r="F536" t="s">
        <v>5139</v>
      </c>
      <c r="G536" t="s">
        <v>1026</v>
      </c>
      <c r="H536" t="s">
        <v>5140</v>
      </c>
    </row>
    <row r="537" spans="1:8" ht="14" customHeight="1" x14ac:dyDescent="0.2">
      <c r="A537" t="s">
        <v>2436</v>
      </c>
      <c r="B537" t="s">
        <v>3570</v>
      </c>
      <c r="E537" t="s">
        <v>1027</v>
      </c>
      <c r="F537" t="s">
        <v>1027</v>
      </c>
      <c r="G537" t="s">
        <v>1028</v>
      </c>
      <c r="H537" t="s">
        <v>5141</v>
      </c>
    </row>
    <row r="538" spans="1:8" ht="14" customHeight="1" x14ac:dyDescent="0.2">
      <c r="A538" t="s">
        <v>2437</v>
      </c>
      <c r="B538" t="s">
        <v>3571</v>
      </c>
      <c r="E538" s="1" t="s">
        <v>1029</v>
      </c>
      <c r="F538" t="s">
        <v>5142</v>
      </c>
      <c r="G538" t="s">
        <v>1030</v>
      </c>
      <c r="H538" t="s">
        <v>5143</v>
      </c>
    </row>
    <row r="539" spans="1:8" ht="14" customHeight="1" x14ac:dyDescent="0.2">
      <c r="A539" t="s">
        <v>2438</v>
      </c>
      <c r="B539" t="s">
        <v>3572</v>
      </c>
      <c r="E539" t="s">
        <v>1031</v>
      </c>
      <c r="F539" t="s">
        <v>5144</v>
      </c>
      <c r="G539" t="s">
        <v>1032</v>
      </c>
      <c r="H539" t="s">
        <v>5145</v>
      </c>
    </row>
    <row r="540" spans="1:8" ht="14" customHeight="1" x14ac:dyDescent="0.2">
      <c r="A540" t="s">
        <v>2439</v>
      </c>
      <c r="B540" t="s">
        <v>3573</v>
      </c>
      <c r="E540" t="s">
        <v>1033</v>
      </c>
      <c r="F540" t="s">
        <v>1033</v>
      </c>
      <c r="G540" s="1" t="s">
        <v>1034</v>
      </c>
      <c r="H540" t="s">
        <v>5146</v>
      </c>
    </row>
    <row r="541" spans="1:8" ht="14" customHeight="1" x14ac:dyDescent="0.2">
      <c r="A541" t="s">
        <v>2440</v>
      </c>
      <c r="B541" t="s">
        <v>3574</v>
      </c>
      <c r="C541" t="s">
        <v>3067</v>
      </c>
      <c r="D541" t="s">
        <v>4064</v>
      </c>
      <c r="E541" t="s">
        <v>1035</v>
      </c>
      <c r="F541" t="s">
        <v>5147</v>
      </c>
      <c r="G541" t="s">
        <v>1036</v>
      </c>
      <c r="H541" t="s">
        <v>5148</v>
      </c>
    </row>
    <row r="542" spans="1:8" ht="14" customHeight="1" x14ac:dyDescent="0.2">
      <c r="A542" t="s">
        <v>2441</v>
      </c>
      <c r="B542" t="s">
        <v>3350</v>
      </c>
      <c r="E542" t="s">
        <v>1037</v>
      </c>
      <c r="F542" t="s">
        <v>1037</v>
      </c>
      <c r="G542" s="1" t="s">
        <v>1038</v>
      </c>
      <c r="H542" t="s">
        <v>5149</v>
      </c>
    </row>
    <row r="543" spans="1:8" ht="14" customHeight="1" x14ac:dyDescent="0.2">
      <c r="A543" t="s">
        <v>2442</v>
      </c>
      <c r="B543" t="s">
        <v>3575</v>
      </c>
      <c r="E543" t="s">
        <v>1039</v>
      </c>
      <c r="F543" t="s">
        <v>5150</v>
      </c>
      <c r="G543" t="s">
        <v>1040</v>
      </c>
      <c r="H543" t="s">
        <v>5151</v>
      </c>
    </row>
    <row r="544" spans="1:8" ht="14" customHeight="1" x14ac:dyDescent="0.2">
      <c r="A544" t="s">
        <v>2443</v>
      </c>
      <c r="B544" t="s">
        <v>3576</v>
      </c>
      <c r="E544" s="1" t="s">
        <v>1041</v>
      </c>
      <c r="F544" t="s">
        <v>5152</v>
      </c>
      <c r="G544" s="1" t="s">
        <v>1042</v>
      </c>
      <c r="H544" t="s">
        <v>5153</v>
      </c>
    </row>
    <row r="545" spans="1:8" ht="14" customHeight="1" x14ac:dyDescent="0.2">
      <c r="A545" t="s">
        <v>2444</v>
      </c>
      <c r="B545" t="s">
        <v>3577</v>
      </c>
      <c r="E545" t="s">
        <v>1043</v>
      </c>
      <c r="F545" t="s">
        <v>5154</v>
      </c>
      <c r="G545" t="s">
        <v>1044</v>
      </c>
      <c r="H545" t="s">
        <v>5155</v>
      </c>
    </row>
    <row r="546" spans="1:8" ht="14" customHeight="1" x14ac:dyDescent="0.2">
      <c r="A546" t="s">
        <v>2445</v>
      </c>
      <c r="B546" t="s">
        <v>3578</v>
      </c>
      <c r="E546" t="s">
        <v>1045</v>
      </c>
      <c r="F546" t="s">
        <v>5156</v>
      </c>
      <c r="G546" t="s">
        <v>1046</v>
      </c>
      <c r="H546" t="s">
        <v>5157</v>
      </c>
    </row>
    <row r="547" spans="1:8" ht="14" customHeight="1" x14ac:dyDescent="0.2">
      <c r="A547" t="s">
        <v>2446</v>
      </c>
      <c r="B547" t="s">
        <v>3579</v>
      </c>
      <c r="E547" t="s">
        <v>1047</v>
      </c>
      <c r="F547" t="s">
        <v>5158</v>
      </c>
      <c r="G547" t="s">
        <v>1048</v>
      </c>
      <c r="H547" t="s">
        <v>1048</v>
      </c>
    </row>
    <row r="548" spans="1:8" ht="14" customHeight="1" x14ac:dyDescent="0.2">
      <c r="A548" t="s">
        <v>2447</v>
      </c>
      <c r="B548" t="s">
        <v>3580</v>
      </c>
      <c r="E548" t="s">
        <v>1049</v>
      </c>
      <c r="F548" t="s">
        <v>5159</v>
      </c>
      <c r="G548" t="s">
        <v>1050</v>
      </c>
      <c r="H548" t="s">
        <v>5160</v>
      </c>
    </row>
    <row r="549" spans="1:8" ht="14" customHeight="1" x14ac:dyDescent="0.2">
      <c r="A549" t="s">
        <v>2448</v>
      </c>
      <c r="B549" t="s">
        <v>3581</v>
      </c>
      <c r="C549" t="s">
        <v>3068</v>
      </c>
      <c r="D549" t="s">
        <v>4065</v>
      </c>
      <c r="E549" t="s">
        <v>1051</v>
      </c>
      <c r="F549" t="s">
        <v>5161</v>
      </c>
      <c r="G549" t="s">
        <v>1052</v>
      </c>
      <c r="H549" t="s">
        <v>5162</v>
      </c>
    </row>
    <row r="550" spans="1:8" ht="14" customHeight="1" x14ac:dyDescent="0.2">
      <c r="A550" t="s">
        <v>2449</v>
      </c>
      <c r="B550" t="s">
        <v>3582</v>
      </c>
      <c r="C550" t="s">
        <v>3069</v>
      </c>
      <c r="D550" t="s">
        <v>4066</v>
      </c>
      <c r="E550" t="s">
        <v>1053</v>
      </c>
      <c r="F550" t="s">
        <v>5163</v>
      </c>
      <c r="G550" t="s">
        <v>1054</v>
      </c>
    </row>
    <row r="551" spans="1:8" ht="14" customHeight="1" x14ac:dyDescent="0.2">
      <c r="A551" t="s">
        <v>2450</v>
      </c>
      <c r="B551" t="s">
        <v>3583</v>
      </c>
      <c r="C551" t="s">
        <v>3070</v>
      </c>
      <c r="D551" t="s">
        <v>4067</v>
      </c>
      <c r="E551" t="s">
        <v>1055</v>
      </c>
      <c r="F551" t="s">
        <v>5164</v>
      </c>
      <c r="G551" t="s">
        <v>1056</v>
      </c>
      <c r="H551" t="s">
        <v>5165</v>
      </c>
    </row>
    <row r="552" spans="1:8" ht="14" customHeight="1" x14ac:dyDescent="0.2">
      <c r="A552" t="s">
        <v>2451</v>
      </c>
      <c r="B552" t="s">
        <v>3584</v>
      </c>
      <c r="E552" t="s">
        <v>1057</v>
      </c>
      <c r="F552" t="s">
        <v>5166</v>
      </c>
      <c r="G552" s="1" t="s">
        <v>1058</v>
      </c>
      <c r="H552" t="s">
        <v>5167</v>
      </c>
    </row>
    <row r="553" spans="1:8" ht="14" customHeight="1" x14ac:dyDescent="0.2">
      <c r="A553" t="s">
        <v>2452</v>
      </c>
      <c r="C553" t="s">
        <v>3071</v>
      </c>
      <c r="E553" t="s">
        <v>1059</v>
      </c>
      <c r="F553" t="s">
        <v>5168</v>
      </c>
      <c r="G553" t="s">
        <v>1060</v>
      </c>
      <c r="H553" t="s">
        <v>5169</v>
      </c>
    </row>
    <row r="554" spans="1:8" ht="14" customHeight="1" x14ac:dyDescent="0.2">
      <c r="A554" t="s">
        <v>2453</v>
      </c>
      <c r="C554" t="s">
        <v>3072</v>
      </c>
      <c r="E554" s="1" t="s">
        <v>1061</v>
      </c>
      <c r="F554" s="1" t="s">
        <v>5975</v>
      </c>
      <c r="G554" s="1" t="s">
        <v>1062</v>
      </c>
      <c r="H554" s="1" t="s">
        <v>1062</v>
      </c>
    </row>
    <row r="555" spans="1:8" ht="14" customHeight="1" x14ac:dyDescent="0.2">
      <c r="A555" t="s">
        <v>2454</v>
      </c>
      <c r="B555" t="s">
        <v>3585</v>
      </c>
      <c r="C555" t="s">
        <v>3073</v>
      </c>
      <c r="D555" t="s">
        <v>4068</v>
      </c>
      <c r="E555" t="s">
        <v>1063</v>
      </c>
      <c r="F555" t="s">
        <v>5170</v>
      </c>
      <c r="G555" t="s">
        <v>1064</v>
      </c>
      <c r="H555" t="s">
        <v>5171</v>
      </c>
    </row>
    <row r="556" spans="1:8" ht="14" customHeight="1" x14ac:dyDescent="0.2">
      <c r="A556" t="s">
        <v>2455</v>
      </c>
      <c r="B556" t="s">
        <v>3586</v>
      </c>
      <c r="C556" t="s">
        <v>3074</v>
      </c>
      <c r="D556" t="s">
        <v>4069</v>
      </c>
      <c r="E556" s="1" t="s">
        <v>1065</v>
      </c>
      <c r="F556" t="s">
        <v>5172</v>
      </c>
      <c r="G556" t="s">
        <v>1066</v>
      </c>
      <c r="H556" t="s">
        <v>5173</v>
      </c>
    </row>
    <row r="557" spans="1:8" ht="14" customHeight="1" x14ac:dyDescent="0.2">
      <c r="A557" t="s">
        <v>2456</v>
      </c>
      <c r="B557" t="s">
        <v>3587</v>
      </c>
      <c r="C557" t="s">
        <v>3075</v>
      </c>
      <c r="D557" t="s">
        <v>4070</v>
      </c>
      <c r="E557" t="s">
        <v>1067</v>
      </c>
      <c r="F557" t="s">
        <v>1067</v>
      </c>
      <c r="G557" t="s">
        <v>1068</v>
      </c>
      <c r="H557" t="s">
        <v>5174</v>
      </c>
    </row>
    <row r="558" spans="1:8" ht="14" customHeight="1" x14ac:dyDescent="0.2">
      <c r="A558" t="s">
        <v>2457</v>
      </c>
      <c r="B558" t="s">
        <v>3588</v>
      </c>
      <c r="C558" t="s">
        <v>3076</v>
      </c>
      <c r="D558" t="s">
        <v>4071</v>
      </c>
      <c r="E558" t="s">
        <v>1069</v>
      </c>
      <c r="F558" t="s">
        <v>5175</v>
      </c>
      <c r="G558" t="s">
        <v>1070</v>
      </c>
      <c r="H558" t="s">
        <v>5176</v>
      </c>
    </row>
    <row r="559" spans="1:8" ht="14" customHeight="1" x14ac:dyDescent="0.2">
      <c r="A559" t="s">
        <v>2458</v>
      </c>
      <c r="B559" t="s">
        <v>3589</v>
      </c>
      <c r="C559" t="s">
        <v>3077</v>
      </c>
      <c r="D559" t="s">
        <v>4072</v>
      </c>
      <c r="E559" t="s">
        <v>1071</v>
      </c>
      <c r="F559" t="s">
        <v>5177</v>
      </c>
      <c r="G559" t="s">
        <v>1072</v>
      </c>
      <c r="H559" t="s">
        <v>5178</v>
      </c>
    </row>
    <row r="560" spans="1:8" ht="14" customHeight="1" x14ac:dyDescent="0.2">
      <c r="A560" t="s">
        <v>1959</v>
      </c>
      <c r="B560" t="s">
        <v>3243</v>
      </c>
      <c r="C560" t="s">
        <v>2873</v>
      </c>
      <c r="E560" t="s">
        <v>1073</v>
      </c>
      <c r="F560" t="s">
        <v>5179</v>
      </c>
      <c r="G560" t="s">
        <v>1074</v>
      </c>
    </row>
    <row r="561" spans="1:8" ht="14" customHeight="1" x14ac:dyDescent="0.2">
      <c r="A561" t="s">
        <v>2459</v>
      </c>
      <c r="B561" t="s">
        <v>3590</v>
      </c>
      <c r="C561" t="s">
        <v>3078</v>
      </c>
      <c r="E561" t="s">
        <v>1075</v>
      </c>
      <c r="F561" t="s">
        <v>3393</v>
      </c>
      <c r="G561" t="s">
        <v>1076</v>
      </c>
      <c r="H561" t="s">
        <v>5180</v>
      </c>
    </row>
    <row r="562" spans="1:8" ht="14" customHeight="1" x14ac:dyDescent="0.2">
      <c r="A562" t="s">
        <v>2460</v>
      </c>
      <c r="B562" t="s">
        <v>3591</v>
      </c>
      <c r="C562" t="s">
        <v>3079</v>
      </c>
      <c r="D562" t="s">
        <v>4073</v>
      </c>
      <c r="E562" t="s">
        <v>1077</v>
      </c>
      <c r="F562" t="s">
        <v>5181</v>
      </c>
      <c r="G562" t="s">
        <v>1078</v>
      </c>
      <c r="H562" t="s">
        <v>5182</v>
      </c>
    </row>
    <row r="563" spans="1:8" ht="14" customHeight="1" x14ac:dyDescent="0.2">
      <c r="A563" t="s">
        <v>2461</v>
      </c>
      <c r="B563" t="s">
        <v>3592</v>
      </c>
      <c r="C563" s="1" t="s">
        <v>3080</v>
      </c>
      <c r="D563" t="s">
        <v>4074</v>
      </c>
      <c r="E563" s="1" t="s">
        <v>1079</v>
      </c>
      <c r="F563" t="s">
        <v>5183</v>
      </c>
      <c r="G563" s="1" t="s">
        <v>1080</v>
      </c>
      <c r="H563" t="s">
        <v>5184</v>
      </c>
    </row>
    <row r="564" spans="1:8" ht="14" customHeight="1" x14ac:dyDescent="0.2">
      <c r="A564" t="s">
        <v>2462</v>
      </c>
      <c r="B564" t="s">
        <v>3593</v>
      </c>
      <c r="C564" t="s">
        <v>3081</v>
      </c>
      <c r="D564" t="s">
        <v>4075</v>
      </c>
      <c r="E564" t="s">
        <v>1081</v>
      </c>
      <c r="F564" t="s">
        <v>5185</v>
      </c>
      <c r="G564" t="s">
        <v>1082</v>
      </c>
      <c r="H564" t="s">
        <v>5186</v>
      </c>
    </row>
    <row r="565" spans="1:8" ht="14" customHeight="1" x14ac:dyDescent="0.2">
      <c r="A565" t="s">
        <v>2463</v>
      </c>
      <c r="B565" t="s">
        <v>3594</v>
      </c>
      <c r="C565" t="s">
        <v>3082</v>
      </c>
      <c r="D565" t="s">
        <v>3082</v>
      </c>
      <c r="E565" t="s">
        <v>1083</v>
      </c>
      <c r="F565" t="s">
        <v>5187</v>
      </c>
      <c r="G565" t="s">
        <v>1084</v>
      </c>
      <c r="H565" t="s">
        <v>5188</v>
      </c>
    </row>
    <row r="566" spans="1:8" ht="14" customHeight="1" x14ac:dyDescent="0.2">
      <c r="A566" t="s">
        <v>2464</v>
      </c>
      <c r="B566" t="s">
        <v>3595</v>
      </c>
      <c r="C566" t="s">
        <v>3083</v>
      </c>
      <c r="D566" t="s">
        <v>4076</v>
      </c>
      <c r="E566" t="e">
        <f>- Colleagues are Friendly
- Systems and Processes are so outdated that you have the opportunity to learn products in-depth as There is very little automation.</f>
        <v>#NAME?</v>
      </c>
      <c r="F566" t="s">
        <v>5189</v>
      </c>
      <c r="G566" t="e">
        <f>- Blame culture
- HR Dept should be more Professional
- Low pay and Long work hours
- Zero tolerance For errors
- only one female in Management
- Systems and Processes are outdated</f>
        <v>#NAME?</v>
      </c>
      <c r="H566" t="s">
        <v>5190</v>
      </c>
    </row>
    <row r="567" spans="1:8" ht="14" customHeight="1" x14ac:dyDescent="0.2">
      <c r="A567" t="s">
        <v>2465</v>
      </c>
      <c r="B567" t="s">
        <v>3596</v>
      </c>
      <c r="C567" t="s">
        <v>3084</v>
      </c>
      <c r="D567" t="s">
        <v>4077</v>
      </c>
      <c r="E567" t="s">
        <v>1085</v>
      </c>
      <c r="F567" t="s">
        <v>5191</v>
      </c>
      <c r="G567" t="s">
        <v>1086</v>
      </c>
      <c r="H567" t="s">
        <v>5192</v>
      </c>
    </row>
    <row r="568" spans="1:8" ht="14" customHeight="1" x14ac:dyDescent="0.2">
      <c r="A568" t="s">
        <v>2466</v>
      </c>
      <c r="B568" t="s">
        <v>3597</v>
      </c>
      <c r="C568" t="s">
        <v>3085</v>
      </c>
      <c r="D568" t="s">
        <v>4078</v>
      </c>
      <c r="E568" t="s">
        <v>1087</v>
      </c>
      <c r="F568" t="s">
        <v>5976</v>
      </c>
      <c r="G568" t="s">
        <v>1088</v>
      </c>
      <c r="H568" t="s">
        <v>5193</v>
      </c>
    </row>
    <row r="569" spans="1:8" ht="14" customHeight="1" x14ac:dyDescent="0.2">
      <c r="A569" t="s">
        <v>2467</v>
      </c>
      <c r="B569" t="s">
        <v>3598</v>
      </c>
      <c r="E569" t="s">
        <v>1089</v>
      </c>
      <c r="F569" t="s">
        <v>5194</v>
      </c>
      <c r="G569" t="s">
        <v>1090</v>
      </c>
      <c r="H569" t="s">
        <v>5195</v>
      </c>
    </row>
    <row r="570" spans="1:8" ht="14" customHeight="1" x14ac:dyDescent="0.2">
      <c r="A570" t="s">
        <v>2468</v>
      </c>
      <c r="B570" t="s">
        <v>3599</v>
      </c>
      <c r="C570" t="s">
        <v>3086</v>
      </c>
      <c r="D570" t="s">
        <v>4079</v>
      </c>
      <c r="E570" t="s">
        <v>1091</v>
      </c>
      <c r="F570" t="s">
        <v>5196</v>
      </c>
      <c r="G570" t="s">
        <v>1092</v>
      </c>
      <c r="H570" t="s">
        <v>5197</v>
      </c>
    </row>
    <row r="571" spans="1:8" ht="14" customHeight="1" x14ac:dyDescent="0.2">
      <c r="A571" t="s">
        <v>2217</v>
      </c>
      <c r="B571" t="s">
        <v>3409</v>
      </c>
      <c r="C571" t="s">
        <v>3087</v>
      </c>
      <c r="D571" t="s">
        <v>4080</v>
      </c>
      <c r="E571" t="s">
        <v>1093</v>
      </c>
      <c r="F571" t="s">
        <v>5198</v>
      </c>
      <c r="G571" t="s">
        <v>1094</v>
      </c>
      <c r="H571" t="s">
        <v>5199</v>
      </c>
    </row>
    <row r="572" spans="1:8" ht="14" customHeight="1" x14ac:dyDescent="0.2">
      <c r="A572" t="s">
        <v>2469</v>
      </c>
      <c r="B572" t="s">
        <v>3600</v>
      </c>
      <c r="C572" t="s">
        <v>3088</v>
      </c>
      <c r="D572" t="s">
        <v>4081</v>
      </c>
      <c r="E572" t="s">
        <v>1095</v>
      </c>
      <c r="F572" t="s">
        <v>5200</v>
      </c>
      <c r="G572" t="s">
        <v>1096</v>
      </c>
      <c r="H572" t="s">
        <v>5201</v>
      </c>
    </row>
    <row r="573" spans="1:8" ht="14" customHeight="1" x14ac:dyDescent="0.2">
      <c r="A573" t="s">
        <v>2470</v>
      </c>
      <c r="B573" t="s">
        <v>3601</v>
      </c>
      <c r="C573" t="s">
        <v>3089</v>
      </c>
      <c r="D573" t="s">
        <v>4082</v>
      </c>
      <c r="E573" s="1" t="s">
        <v>1097</v>
      </c>
      <c r="F573" t="s">
        <v>5202</v>
      </c>
      <c r="G573" s="1" t="s">
        <v>1098</v>
      </c>
      <c r="H573" t="s">
        <v>5203</v>
      </c>
    </row>
    <row r="574" spans="1:8" ht="14" customHeight="1" x14ac:dyDescent="0.2">
      <c r="A574" t="s">
        <v>2471</v>
      </c>
      <c r="B574" t="s">
        <v>3602</v>
      </c>
      <c r="C574" t="s">
        <v>3090</v>
      </c>
      <c r="D574" t="s">
        <v>4083</v>
      </c>
      <c r="E574" t="s">
        <v>1099</v>
      </c>
      <c r="F574" t="s">
        <v>5204</v>
      </c>
      <c r="G574" t="s">
        <v>1100</v>
      </c>
      <c r="H574" t="s">
        <v>5205</v>
      </c>
    </row>
    <row r="575" spans="1:8" ht="14" customHeight="1" x14ac:dyDescent="0.2">
      <c r="A575" t="s">
        <v>2472</v>
      </c>
      <c r="B575" t="s">
        <v>3603</v>
      </c>
      <c r="C575" t="e">
        <f>- Clearly defined job description and objectives to employees
- Implement and enforce a process For oilfiedl project Management
- Properly train managers both technically and in soft skills
- enforce english skills in order to operate in the oil industry</f>
        <v>#NAME?</v>
      </c>
      <c r="D575" t="s">
        <v>4084</v>
      </c>
      <c r="E575" s="1" t="s">
        <v>1101</v>
      </c>
      <c r="F575" t="s">
        <v>5206</v>
      </c>
      <c r="G575" t="e">
        <f>- Disorganized
- not internationally opened, it is Mostly an Italian company with little opportunities to grow For foreigners.
- it is not acting like an IOC but more like a public company. Local employees look like government employees
- people are stressed and not necessarily efficient
- There is No clear process in place to conduct business.
- Human resource Management is non existent and not transparent even if it exists</f>
        <v>#NAME?</v>
      </c>
      <c r="H575" t="s">
        <v>5207</v>
      </c>
    </row>
    <row r="576" spans="1:8" ht="14" customHeight="1" x14ac:dyDescent="0.2">
      <c r="A576" t="s">
        <v>2473</v>
      </c>
      <c r="B576" t="s">
        <v>3604</v>
      </c>
      <c r="E576" t="s">
        <v>1102</v>
      </c>
      <c r="G576" t="s">
        <v>1103</v>
      </c>
      <c r="H576" t="s">
        <v>5208</v>
      </c>
    </row>
    <row r="577" spans="1:8" ht="14" customHeight="1" x14ac:dyDescent="0.2">
      <c r="A577" t="s">
        <v>2474</v>
      </c>
      <c r="B577" t="s">
        <v>3605</v>
      </c>
      <c r="E577" t="s">
        <v>1104</v>
      </c>
      <c r="F577" t="s">
        <v>5209</v>
      </c>
      <c r="G577" t="s">
        <v>1105</v>
      </c>
      <c r="H577" t="s">
        <v>5210</v>
      </c>
    </row>
    <row r="578" spans="1:8" ht="14" customHeight="1" x14ac:dyDescent="0.2">
      <c r="A578" t="s">
        <v>2475</v>
      </c>
      <c r="B578" t="s">
        <v>3606</v>
      </c>
      <c r="E578" t="s">
        <v>1106</v>
      </c>
      <c r="F578" t="s">
        <v>5211</v>
      </c>
      <c r="G578" t="s">
        <v>1107</v>
      </c>
      <c r="H578" t="s">
        <v>5212</v>
      </c>
    </row>
    <row r="579" spans="1:8" ht="14" customHeight="1" x14ac:dyDescent="0.2">
      <c r="A579" t="s">
        <v>2476</v>
      </c>
      <c r="B579" t="s">
        <v>3607</v>
      </c>
      <c r="E579" t="s">
        <v>1108</v>
      </c>
      <c r="F579" t="s">
        <v>5213</v>
      </c>
      <c r="G579" t="s">
        <v>1109</v>
      </c>
      <c r="H579" t="s">
        <v>5214</v>
      </c>
    </row>
    <row r="580" spans="1:8" ht="14" customHeight="1" x14ac:dyDescent="0.2">
      <c r="A580" t="s">
        <v>2477</v>
      </c>
      <c r="E580" t="s">
        <v>1110</v>
      </c>
      <c r="F580" t="s">
        <v>5215</v>
      </c>
      <c r="G580" t="s">
        <v>1111</v>
      </c>
      <c r="H580" t="s">
        <v>5216</v>
      </c>
    </row>
    <row r="581" spans="1:8" ht="14" customHeight="1" x14ac:dyDescent="0.2">
      <c r="A581" t="s">
        <v>2478</v>
      </c>
      <c r="B581" t="s">
        <v>3608</v>
      </c>
      <c r="C581" t="s">
        <v>3091</v>
      </c>
      <c r="D581" t="s">
        <v>4085</v>
      </c>
      <c r="E581" t="s">
        <v>1112</v>
      </c>
      <c r="F581" t="s">
        <v>5217</v>
      </c>
      <c r="G581" t="s">
        <v>1113</v>
      </c>
      <c r="H581" t="s">
        <v>5218</v>
      </c>
    </row>
    <row r="582" spans="1:8" ht="14" customHeight="1" x14ac:dyDescent="0.2">
      <c r="A582" t="s">
        <v>2479</v>
      </c>
      <c r="B582" t="s">
        <v>3609</v>
      </c>
      <c r="C582" t="s">
        <v>3092</v>
      </c>
      <c r="D582" t="s">
        <v>4086</v>
      </c>
      <c r="E582" t="s">
        <v>1114</v>
      </c>
      <c r="F582" t="s">
        <v>5219</v>
      </c>
      <c r="G582" t="s">
        <v>1115</v>
      </c>
      <c r="H582" t="s">
        <v>5220</v>
      </c>
    </row>
    <row r="583" spans="1:8" ht="14" customHeight="1" x14ac:dyDescent="0.2">
      <c r="A583" t="s">
        <v>2480</v>
      </c>
      <c r="B583" t="s">
        <v>3610</v>
      </c>
      <c r="C583" t="s">
        <v>3093</v>
      </c>
      <c r="D583" t="s">
        <v>4087</v>
      </c>
      <c r="E583" s="1" t="s">
        <v>1116</v>
      </c>
      <c r="F583" t="s">
        <v>5221</v>
      </c>
      <c r="G583" s="1" t="s">
        <v>1117</v>
      </c>
      <c r="H583" t="s">
        <v>5222</v>
      </c>
    </row>
    <row r="584" spans="1:8" ht="14" customHeight="1" x14ac:dyDescent="0.2">
      <c r="A584" t="s">
        <v>2481</v>
      </c>
      <c r="B584" t="s">
        <v>3611</v>
      </c>
      <c r="C584" t="s">
        <v>3094</v>
      </c>
      <c r="D584" t="s">
        <v>4088</v>
      </c>
      <c r="E584" t="s">
        <v>1118</v>
      </c>
      <c r="G584" t="s">
        <v>1119</v>
      </c>
      <c r="H584" t="s">
        <v>5223</v>
      </c>
    </row>
    <row r="585" spans="1:8" ht="14" customHeight="1" x14ac:dyDescent="0.2">
      <c r="A585" t="s">
        <v>2482</v>
      </c>
      <c r="B585" t="s">
        <v>3612</v>
      </c>
      <c r="C585" t="s">
        <v>3095</v>
      </c>
      <c r="D585" t="s">
        <v>4089</v>
      </c>
      <c r="E585" t="s">
        <v>1120</v>
      </c>
      <c r="F585" t="s">
        <v>5224</v>
      </c>
      <c r="G585" t="s">
        <v>1121</v>
      </c>
      <c r="H585" t="s">
        <v>5225</v>
      </c>
    </row>
    <row r="586" spans="1:8" ht="14" customHeight="1" x14ac:dyDescent="0.2">
      <c r="A586" t="s">
        <v>2483</v>
      </c>
      <c r="B586" t="s">
        <v>3613</v>
      </c>
      <c r="E586" t="s">
        <v>1122</v>
      </c>
      <c r="F586" t="s">
        <v>4475</v>
      </c>
      <c r="G586" t="s">
        <v>1123</v>
      </c>
      <c r="H586" t="s">
        <v>5226</v>
      </c>
    </row>
    <row r="587" spans="1:8" ht="14" customHeight="1" x14ac:dyDescent="0.2">
      <c r="A587" t="s">
        <v>2484</v>
      </c>
      <c r="B587" t="s">
        <v>3614</v>
      </c>
      <c r="E587" s="1" t="s">
        <v>1124</v>
      </c>
      <c r="F587" t="s">
        <v>5227</v>
      </c>
      <c r="G587" s="1" t="s">
        <v>1125</v>
      </c>
      <c r="H587" t="s">
        <v>5228</v>
      </c>
    </row>
    <row r="588" spans="1:8" ht="14" customHeight="1" x14ac:dyDescent="0.2">
      <c r="A588" t="s">
        <v>2485</v>
      </c>
      <c r="B588" t="s">
        <v>3615</v>
      </c>
      <c r="C588" t="s">
        <v>3096</v>
      </c>
      <c r="D588" t="s">
        <v>4090</v>
      </c>
      <c r="E588" t="s">
        <v>1126</v>
      </c>
      <c r="F588" t="s">
        <v>5229</v>
      </c>
      <c r="G588" t="s">
        <v>1127</v>
      </c>
      <c r="H588" t="s">
        <v>5230</v>
      </c>
    </row>
    <row r="589" spans="1:8" ht="14" customHeight="1" x14ac:dyDescent="0.2">
      <c r="A589" t="s">
        <v>2486</v>
      </c>
      <c r="B589" t="s">
        <v>3616</v>
      </c>
      <c r="C589" t="s">
        <v>3097</v>
      </c>
      <c r="D589" t="s">
        <v>4091</v>
      </c>
      <c r="E589" t="s">
        <v>1128</v>
      </c>
      <c r="F589" t="s">
        <v>5231</v>
      </c>
      <c r="G589" t="s">
        <v>1129</v>
      </c>
      <c r="H589" t="s">
        <v>5232</v>
      </c>
    </row>
    <row r="590" spans="1:8" ht="14" customHeight="1" x14ac:dyDescent="0.2">
      <c r="A590" t="s">
        <v>2487</v>
      </c>
      <c r="B590" t="s">
        <v>3324</v>
      </c>
      <c r="E590" t="s">
        <v>1130</v>
      </c>
      <c r="F590" t="s">
        <v>5233</v>
      </c>
      <c r="G590" t="s">
        <v>1131</v>
      </c>
    </row>
    <row r="591" spans="1:8" ht="14" customHeight="1" x14ac:dyDescent="0.2">
      <c r="A591" t="s">
        <v>2488</v>
      </c>
      <c r="B591" t="s">
        <v>3617</v>
      </c>
      <c r="E591" t="s">
        <v>1132</v>
      </c>
      <c r="F591" t="s">
        <v>5234</v>
      </c>
      <c r="G591" s="1" t="s">
        <v>1133</v>
      </c>
    </row>
    <row r="592" spans="1:8" ht="14" customHeight="1" x14ac:dyDescent="0.2">
      <c r="A592" t="s">
        <v>2489</v>
      </c>
      <c r="B592" t="s">
        <v>3618</v>
      </c>
      <c r="E592" t="s">
        <v>1134</v>
      </c>
      <c r="F592" t="s">
        <v>5235</v>
      </c>
      <c r="G592" t="s">
        <v>1135</v>
      </c>
      <c r="H592" t="s">
        <v>5236</v>
      </c>
    </row>
    <row r="593" spans="1:8" ht="14" customHeight="1" x14ac:dyDescent="0.2">
      <c r="A593" t="s">
        <v>2490</v>
      </c>
      <c r="B593" t="s">
        <v>3619</v>
      </c>
      <c r="E593" t="e">
        <f>- work from home/flex work
- Good tools/apps For use to do work
- onboarding product is a solid solution</f>
        <v>#NAME?</v>
      </c>
      <c r="F593" t="s">
        <v>5237</v>
      </c>
      <c r="G593" t="e">
        <f>- high turn-over
- Innovation lacking
- everyone think and behaves the same and There is a lot of disorganization, lack of effective solutioning and culturally little awareness of need For improvement or appetite For change seemingly due complacency.</f>
        <v>#NAME?</v>
      </c>
      <c r="H593" t="s">
        <v>5238</v>
      </c>
    </row>
    <row r="594" spans="1:8" ht="14" customHeight="1" x14ac:dyDescent="0.2">
      <c r="A594" t="s">
        <v>2134</v>
      </c>
      <c r="B594" t="s">
        <v>3337</v>
      </c>
      <c r="E594" t="s">
        <v>1136</v>
      </c>
      <c r="F594" t="s">
        <v>5240</v>
      </c>
      <c r="G594" t="s">
        <v>1137</v>
      </c>
      <c r="H594" t="s">
        <v>5239</v>
      </c>
    </row>
    <row r="595" spans="1:8" ht="14" customHeight="1" x14ac:dyDescent="0.2">
      <c r="A595" t="s">
        <v>2491</v>
      </c>
      <c r="B595" t="s">
        <v>3620</v>
      </c>
      <c r="E595" s="1" t="s">
        <v>1138</v>
      </c>
      <c r="G595" s="1" t="s">
        <v>1139</v>
      </c>
      <c r="H595" t="s">
        <v>5241</v>
      </c>
    </row>
    <row r="596" spans="1:8" ht="14" customHeight="1" x14ac:dyDescent="0.2">
      <c r="A596" t="s">
        <v>2492</v>
      </c>
      <c r="B596" t="s">
        <v>3621</v>
      </c>
      <c r="E596" t="s">
        <v>1140</v>
      </c>
      <c r="F596" t="s">
        <v>5977</v>
      </c>
      <c r="G596" t="s">
        <v>1141</v>
      </c>
      <c r="H596" t="s">
        <v>5242</v>
      </c>
    </row>
    <row r="597" spans="1:8" ht="14" customHeight="1" x14ac:dyDescent="0.2">
      <c r="A597" t="s">
        <v>2493</v>
      </c>
      <c r="B597" t="s">
        <v>3622</v>
      </c>
      <c r="E597" t="s">
        <v>1142</v>
      </c>
      <c r="F597" t="s">
        <v>5243</v>
      </c>
      <c r="G597" t="s">
        <v>1143</v>
      </c>
    </row>
    <row r="598" spans="1:8" ht="14" customHeight="1" x14ac:dyDescent="0.2">
      <c r="A598" t="s">
        <v>2494</v>
      </c>
      <c r="B598" t="s">
        <v>2494</v>
      </c>
      <c r="E598" t="s">
        <v>1144</v>
      </c>
      <c r="F598" t="s">
        <v>5244</v>
      </c>
      <c r="G598" t="s">
        <v>1145</v>
      </c>
      <c r="H598" t="s">
        <v>5245</v>
      </c>
    </row>
    <row r="599" spans="1:8" ht="14" customHeight="1" x14ac:dyDescent="0.2">
      <c r="A599" t="s">
        <v>2495</v>
      </c>
      <c r="B599" t="s">
        <v>3623</v>
      </c>
      <c r="E599" t="s">
        <v>1146</v>
      </c>
      <c r="F599" t="s">
        <v>5246</v>
      </c>
      <c r="G599" t="s">
        <v>1147</v>
      </c>
      <c r="H599" t="s">
        <v>5247</v>
      </c>
    </row>
    <row r="600" spans="1:8" ht="14" customHeight="1" x14ac:dyDescent="0.2">
      <c r="A600" t="s">
        <v>2496</v>
      </c>
      <c r="B600" t="s">
        <v>3624</v>
      </c>
      <c r="C600" t="s">
        <v>3098</v>
      </c>
      <c r="E600" t="s">
        <v>1148</v>
      </c>
      <c r="F600" t="s">
        <v>5248</v>
      </c>
      <c r="G600" t="s">
        <v>1149</v>
      </c>
      <c r="H600" t="s">
        <v>5249</v>
      </c>
    </row>
    <row r="601" spans="1:8" ht="14" customHeight="1" x14ac:dyDescent="0.2">
      <c r="A601" t="s">
        <v>2497</v>
      </c>
      <c r="B601" t="s">
        <v>2497</v>
      </c>
      <c r="E601" t="s">
        <v>1150</v>
      </c>
      <c r="F601" t="s">
        <v>5250</v>
      </c>
      <c r="G601" s="1" t="s">
        <v>1151</v>
      </c>
      <c r="H601" t="s">
        <v>5251</v>
      </c>
    </row>
    <row r="602" spans="1:8" ht="14" customHeight="1" x14ac:dyDescent="0.2">
      <c r="A602" t="s">
        <v>2498</v>
      </c>
      <c r="B602" t="s">
        <v>3625</v>
      </c>
      <c r="C602" t="s">
        <v>3099</v>
      </c>
      <c r="D602" t="s">
        <v>4092</v>
      </c>
      <c r="E602" t="e">
        <f>- Buen clima laboral, equipos que se dedicaban a sus metas</f>
        <v>#NAME?</v>
      </c>
      <c r="F602" t="s">
        <v>5252</v>
      </c>
      <c r="G602" t="e">
        <f>- Tendencia a full presencial</f>
        <v>#NAME?</v>
      </c>
      <c r="H602" t="s">
        <v>5253</v>
      </c>
    </row>
    <row r="603" spans="1:8" ht="14" customHeight="1" x14ac:dyDescent="0.2">
      <c r="A603" t="s">
        <v>2499</v>
      </c>
      <c r="B603" t="s">
        <v>3626</v>
      </c>
      <c r="C603" t="s">
        <v>3100</v>
      </c>
      <c r="D603" t="s">
        <v>4093</v>
      </c>
      <c r="E603" t="s">
        <v>1152</v>
      </c>
      <c r="F603" t="s">
        <v>5254</v>
      </c>
      <c r="G603" t="s">
        <v>1153</v>
      </c>
      <c r="H603" t="s">
        <v>5255</v>
      </c>
    </row>
    <row r="604" spans="1:8" ht="14" customHeight="1" x14ac:dyDescent="0.2">
      <c r="A604" t="s">
        <v>2500</v>
      </c>
      <c r="B604" t="s">
        <v>2500</v>
      </c>
      <c r="C604" t="s">
        <v>3101</v>
      </c>
      <c r="D604" t="s">
        <v>4094</v>
      </c>
      <c r="E604" s="1" t="s">
        <v>1154</v>
      </c>
      <c r="F604" t="s">
        <v>5256</v>
      </c>
      <c r="G604" s="1" t="s">
        <v>1155</v>
      </c>
      <c r="H604" t="s">
        <v>5257</v>
      </c>
    </row>
    <row r="605" spans="1:8" ht="14" customHeight="1" x14ac:dyDescent="0.2">
      <c r="A605" t="s">
        <v>2501</v>
      </c>
      <c r="B605" t="s">
        <v>2501</v>
      </c>
      <c r="E605" t="s">
        <v>1156</v>
      </c>
      <c r="F605" t="s">
        <v>5258</v>
      </c>
      <c r="G605" t="s">
        <v>1157</v>
      </c>
      <c r="H605" t="s">
        <v>5259</v>
      </c>
    </row>
    <row r="606" spans="1:8" ht="14" customHeight="1" x14ac:dyDescent="0.2">
      <c r="A606" t="s">
        <v>2502</v>
      </c>
      <c r="B606" t="s">
        <v>2502</v>
      </c>
      <c r="E606" t="s">
        <v>1158</v>
      </c>
      <c r="F606" t="s">
        <v>5260</v>
      </c>
      <c r="G606" t="s">
        <v>1159</v>
      </c>
      <c r="H606" t="s">
        <v>5261</v>
      </c>
    </row>
    <row r="607" spans="1:8" ht="14" customHeight="1" x14ac:dyDescent="0.2">
      <c r="A607" t="s">
        <v>2503</v>
      </c>
      <c r="B607" t="s">
        <v>2503</v>
      </c>
      <c r="C607" t="s">
        <v>3102</v>
      </c>
      <c r="D607" t="s">
        <v>4095</v>
      </c>
      <c r="E607" t="s">
        <v>1160</v>
      </c>
      <c r="F607" t="s">
        <v>5262</v>
      </c>
      <c r="G607" t="s">
        <v>1161</v>
      </c>
      <c r="H607" t="s">
        <v>5263</v>
      </c>
    </row>
    <row r="608" spans="1:8" ht="14" customHeight="1" x14ac:dyDescent="0.2">
      <c r="A608" t="s">
        <v>2504</v>
      </c>
      <c r="B608" t="s">
        <v>2504</v>
      </c>
      <c r="E608" s="1" t="s">
        <v>1162</v>
      </c>
      <c r="F608" t="s">
        <v>5264</v>
      </c>
      <c r="G608" s="1" t="s">
        <v>1163</v>
      </c>
      <c r="H608" t="s">
        <v>5265</v>
      </c>
    </row>
    <row r="609" spans="1:8" ht="14" customHeight="1" x14ac:dyDescent="0.2">
      <c r="A609" t="s">
        <v>2505</v>
      </c>
      <c r="B609" t="s">
        <v>3627</v>
      </c>
      <c r="E609" t="s">
        <v>1164</v>
      </c>
      <c r="F609" t="s">
        <v>1164</v>
      </c>
      <c r="G609" t="s">
        <v>1165</v>
      </c>
      <c r="H609" t="s">
        <v>5266</v>
      </c>
    </row>
    <row r="610" spans="1:8" ht="14" customHeight="1" x14ac:dyDescent="0.2">
      <c r="A610" t="s">
        <v>2506</v>
      </c>
      <c r="B610" t="s">
        <v>2506</v>
      </c>
      <c r="E610" t="s">
        <v>1166</v>
      </c>
      <c r="F610" t="s">
        <v>5267</v>
      </c>
      <c r="G610" t="s">
        <v>1167</v>
      </c>
      <c r="H610" t="s">
        <v>5268</v>
      </c>
    </row>
    <row r="611" spans="1:8" ht="14" customHeight="1" x14ac:dyDescent="0.2">
      <c r="A611" t="s">
        <v>2507</v>
      </c>
      <c r="B611" t="s">
        <v>2507</v>
      </c>
      <c r="E611" t="s">
        <v>1168</v>
      </c>
      <c r="F611" t="s">
        <v>5269</v>
      </c>
      <c r="G611" t="s">
        <v>1169</v>
      </c>
      <c r="H611" t="s">
        <v>5270</v>
      </c>
    </row>
    <row r="612" spans="1:8" ht="14" customHeight="1" x14ac:dyDescent="0.2">
      <c r="A612" t="s">
        <v>2508</v>
      </c>
      <c r="B612" t="s">
        <v>2508</v>
      </c>
      <c r="C612" t="s">
        <v>3103</v>
      </c>
      <c r="D612" t="s">
        <v>4096</v>
      </c>
      <c r="E612" t="s">
        <v>1170</v>
      </c>
      <c r="F612" t="s">
        <v>5271</v>
      </c>
      <c r="G612" t="s">
        <v>1171</v>
      </c>
      <c r="H612" t="s">
        <v>5272</v>
      </c>
    </row>
    <row r="613" spans="1:8" ht="14" customHeight="1" x14ac:dyDescent="0.2">
      <c r="A613" t="s">
        <v>2509</v>
      </c>
      <c r="B613" t="s">
        <v>3628</v>
      </c>
      <c r="E613" t="s">
        <v>1172</v>
      </c>
      <c r="F613" t="s">
        <v>5273</v>
      </c>
      <c r="G613" t="s">
        <v>1173</v>
      </c>
      <c r="H613" t="s">
        <v>5274</v>
      </c>
    </row>
    <row r="614" spans="1:8" ht="14" customHeight="1" x14ac:dyDescent="0.2">
      <c r="A614" t="s">
        <v>2510</v>
      </c>
      <c r="B614" t="s">
        <v>3629</v>
      </c>
      <c r="E614" t="s">
        <v>1174</v>
      </c>
      <c r="F614" t="s">
        <v>5275</v>
      </c>
      <c r="G614" t="s">
        <v>1175</v>
      </c>
      <c r="H614" t="s">
        <v>5276</v>
      </c>
    </row>
    <row r="615" spans="1:8" ht="14" customHeight="1" x14ac:dyDescent="0.2">
      <c r="A615" t="s">
        <v>2511</v>
      </c>
      <c r="B615" t="s">
        <v>2511</v>
      </c>
      <c r="C615" t="s">
        <v>2881</v>
      </c>
      <c r="E615" t="s">
        <v>1176</v>
      </c>
      <c r="F615" t="s">
        <v>5277</v>
      </c>
      <c r="G615" t="s">
        <v>1177</v>
      </c>
    </row>
    <row r="616" spans="1:8" ht="14" customHeight="1" x14ac:dyDescent="0.2">
      <c r="A616" t="s">
        <v>2512</v>
      </c>
      <c r="B616" t="s">
        <v>2512</v>
      </c>
      <c r="E616" t="s">
        <v>1178</v>
      </c>
      <c r="F616" t="s">
        <v>5278</v>
      </c>
      <c r="G616" t="s">
        <v>1179</v>
      </c>
      <c r="H616" t="s">
        <v>5279</v>
      </c>
    </row>
    <row r="617" spans="1:8" ht="14" customHeight="1" x14ac:dyDescent="0.2">
      <c r="A617" t="s">
        <v>2513</v>
      </c>
      <c r="B617" t="s">
        <v>3630</v>
      </c>
      <c r="E617" t="s">
        <v>1180</v>
      </c>
      <c r="F617" t="s">
        <v>5978</v>
      </c>
      <c r="G617" t="s">
        <v>1181</v>
      </c>
      <c r="H617" t="s">
        <v>5280</v>
      </c>
    </row>
    <row r="618" spans="1:8" ht="14" customHeight="1" x14ac:dyDescent="0.2">
      <c r="A618" t="s">
        <v>2514</v>
      </c>
      <c r="B618" t="s">
        <v>2514</v>
      </c>
      <c r="E618" t="s">
        <v>1182</v>
      </c>
      <c r="F618" t="s">
        <v>5281</v>
      </c>
      <c r="G618" t="s">
        <v>1183</v>
      </c>
      <c r="H618" t="s">
        <v>5282</v>
      </c>
    </row>
    <row r="619" spans="1:8" ht="14" customHeight="1" x14ac:dyDescent="0.2">
      <c r="A619" t="s">
        <v>2515</v>
      </c>
      <c r="B619" t="s">
        <v>2515</v>
      </c>
      <c r="E619" t="s">
        <v>1184</v>
      </c>
      <c r="F619" t="s">
        <v>5283</v>
      </c>
      <c r="G619" t="s">
        <v>1185</v>
      </c>
      <c r="H619" t="s">
        <v>5284</v>
      </c>
    </row>
    <row r="620" spans="1:8" ht="14" customHeight="1" x14ac:dyDescent="0.2">
      <c r="A620" t="s">
        <v>2516</v>
      </c>
      <c r="B620" t="s">
        <v>2516</v>
      </c>
      <c r="E620" t="s">
        <v>1186</v>
      </c>
      <c r="F620" t="s">
        <v>5285</v>
      </c>
      <c r="G620" s="1" t="s">
        <v>1187</v>
      </c>
      <c r="H620" t="s">
        <v>5286</v>
      </c>
    </row>
    <row r="621" spans="1:8" ht="14" customHeight="1" x14ac:dyDescent="0.2">
      <c r="A621" t="s">
        <v>2372</v>
      </c>
      <c r="B621" t="s">
        <v>3631</v>
      </c>
      <c r="C621" t="s">
        <v>3104</v>
      </c>
      <c r="D621" t="s">
        <v>4097</v>
      </c>
      <c r="E621" t="s">
        <v>1188</v>
      </c>
      <c r="F621" t="s">
        <v>5287</v>
      </c>
      <c r="G621" t="s">
        <v>1189</v>
      </c>
    </row>
    <row r="622" spans="1:8" ht="14" customHeight="1" x14ac:dyDescent="0.2">
      <c r="A622" t="s">
        <v>2517</v>
      </c>
      <c r="B622" t="s">
        <v>2517</v>
      </c>
      <c r="C622" t="s">
        <v>3105</v>
      </c>
      <c r="D622" t="s">
        <v>4098</v>
      </c>
      <c r="E622" t="s">
        <v>1190</v>
      </c>
      <c r="F622" t="s">
        <v>5288</v>
      </c>
      <c r="G622" t="s">
        <v>1191</v>
      </c>
      <c r="H622" t="s">
        <v>5289</v>
      </c>
    </row>
    <row r="623" spans="1:8" ht="14" customHeight="1" x14ac:dyDescent="0.2">
      <c r="A623" t="s">
        <v>2518</v>
      </c>
      <c r="B623" t="s">
        <v>2518</v>
      </c>
      <c r="C623" t="s">
        <v>3106</v>
      </c>
      <c r="D623" t="s">
        <v>4099</v>
      </c>
      <c r="E623" t="s">
        <v>1192</v>
      </c>
      <c r="F623" t="s">
        <v>5290</v>
      </c>
      <c r="G623" t="s">
        <v>1193</v>
      </c>
      <c r="H623" t="s">
        <v>5291</v>
      </c>
    </row>
    <row r="624" spans="1:8" ht="14" customHeight="1" x14ac:dyDescent="0.2">
      <c r="A624" t="s">
        <v>2519</v>
      </c>
      <c r="B624" t="s">
        <v>2519</v>
      </c>
      <c r="E624" s="1" t="s">
        <v>1194</v>
      </c>
      <c r="F624" t="s">
        <v>5292</v>
      </c>
      <c r="G624" s="1" t="s">
        <v>1195</v>
      </c>
      <c r="H624" t="s">
        <v>5293</v>
      </c>
    </row>
    <row r="625" spans="1:8" ht="14" customHeight="1" x14ac:dyDescent="0.2">
      <c r="A625" t="s">
        <v>2520</v>
      </c>
      <c r="B625" t="s">
        <v>2520</v>
      </c>
      <c r="C625" t="s">
        <v>3107</v>
      </c>
      <c r="E625" t="s">
        <v>1196</v>
      </c>
      <c r="F625" t="s">
        <v>5294</v>
      </c>
      <c r="G625" t="s">
        <v>1197</v>
      </c>
      <c r="H625" t="s">
        <v>5295</v>
      </c>
    </row>
    <row r="626" spans="1:8" ht="14" customHeight="1" x14ac:dyDescent="0.2">
      <c r="A626" t="s">
        <v>2386</v>
      </c>
      <c r="B626" t="s">
        <v>2386</v>
      </c>
      <c r="C626" t="s">
        <v>3108</v>
      </c>
      <c r="D626" t="s">
        <v>4100</v>
      </c>
      <c r="E626" t="s">
        <v>1198</v>
      </c>
      <c r="F626" t="s">
        <v>5296</v>
      </c>
      <c r="G626" t="s">
        <v>1199</v>
      </c>
      <c r="H626" t="s">
        <v>5297</v>
      </c>
    </row>
    <row r="627" spans="1:8" ht="14" customHeight="1" x14ac:dyDescent="0.2">
      <c r="A627" t="s">
        <v>2521</v>
      </c>
      <c r="B627" t="s">
        <v>3632</v>
      </c>
      <c r="C627" t="s">
        <v>3109</v>
      </c>
      <c r="D627" t="s">
        <v>3986</v>
      </c>
      <c r="E627" t="s">
        <v>1200</v>
      </c>
      <c r="F627" t="s">
        <v>5298</v>
      </c>
      <c r="G627" t="s">
        <v>1201</v>
      </c>
    </row>
    <row r="628" spans="1:8" ht="14" customHeight="1" x14ac:dyDescent="0.2">
      <c r="A628" t="s">
        <v>2522</v>
      </c>
      <c r="B628" t="s">
        <v>2522</v>
      </c>
      <c r="C628" t="s">
        <v>3110</v>
      </c>
      <c r="D628" t="s">
        <v>4101</v>
      </c>
      <c r="E628" t="s">
        <v>1202</v>
      </c>
      <c r="F628" t="s">
        <v>5299</v>
      </c>
      <c r="G628" t="s">
        <v>1203</v>
      </c>
      <c r="H628" t="s">
        <v>5300</v>
      </c>
    </row>
    <row r="629" spans="1:8" ht="14" customHeight="1" x14ac:dyDescent="0.2">
      <c r="A629" t="s">
        <v>2523</v>
      </c>
      <c r="B629" t="s">
        <v>2523</v>
      </c>
      <c r="C629" t="s">
        <v>3111</v>
      </c>
      <c r="D629" s="5" t="s">
        <v>5970</v>
      </c>
      <c r="E629" t="s">
        <v>1204</v>
      </c>
      <c r="F629" t="s">
        <v>5301</v>
      </c>
      <c r="G629" t="s">
        <v>1205</v>
      </c>
    </row>
    <row r="630" spans="1:8" ht="14" customHeight="1" x14ac:dyDescent="0.2">
      <c r="A630" t="s">
        <v>2524</v>
      </c>
      <c r="B630" t="s">
        <v>2524</v>
      </c>
      <c r="C630" t="s">
        <v>3112</v>
      </c>
      <c r="D630" s="5" t="s">
        <v>4102</v>
      </c>
      <c r="E630" t="s">
        <v>1206</v>
      </c>
      <c r="G630" t="s">
        <v>1207</v>
      </c>
      <c r="H630" t="s">
        <v>5302</v>
      </c>
    </row>
    <row r="631" spans="1:8" ht="14" customHeight="1" x14ac:dyDescent="0.2">
      <c r="A631" t="s">
        <v>2525</v>
      </c>
      <c r="B631" t="s">
        <v>2525</v>
      </c>
      <c r="C631" t="s">
        <v>3113</v>
      </c>
      <c r="D631" s="5" t="s">
        <v>5971</v>
      </c>
      <c r="E631" t="s">
        <v>1208</v>
      </c>
      <c r="F631" t="s">
        <v>5303</v>
      </c>
      <c r="G631" t="s">
        <v>1209</v>
      </c>
    </row>
    <row r="632" spans="1:8" ht="14" customHeight="1" x14ac:dyDescent="0.2">
      <c r="A632" t="s">
        <v>2526</v>
      </c>
      <c r="B632" t="s">
        <v>2526</v>
      </c>
      <c r="C632" t="s">
        <v>3114</v>
      </c>
      <c r="D632" s="5" t="s">
        <v>5972</v>
      </c>
      <c r="E632" t="s">
        <v>1210</v>
      </c>
      <c r="F632" t="s">
        <v>1210</v>
      </c>
      <c r="G632" t="s">
        <v>1211</v>
      </c>
      <c r="H632" t="s">
        <v>1211</v>
      </c>
    </row>
    <row r="633" spans="1:8" ht="14" customHeight="1" x14ac:dyDescent="0.2">
      <c r="A633" t="s">
        <v>2527</v>
      </c>
      <c r="B633" t="s">
        <v>2527</v>
      </c>
      <c r="C633" t="s">
        <v>3115</v>
      </c>
      <c r="D633" s="5" t="s">
        <v>5973</v>
      </c>
      <c r="E633" t="s">
        <v>1212</v>
      </c>
      <c r="F633" t="s">
        <v>5304</v>
      </c>
      <c r="G633" t="s">
        <v>1213</v>
      </c>
      <c r="H633" t="s">
        <v>5305</v>
      </c>
    </row>
    <row r="634" spans="1:8" ht="14" customHeight="1" x14ac:dyDescent="0.2">
      <c r="A634" t="s">
        <v>2528</v>
      </c>
      <c r="B634" t="s">
        <v>2528</v>
      </c>
      <c r="C634" t="s">
        <v>3116</v>
      </c>
      <c r="E634" t="s">
        <v>1214</v>
      </c>
      <c r="F634" t="s">
        <v>5306</v>
      </c>
      <c r="G634" t="s">
        <v>1215</v>
      </c>
      <c r="H634" t="s">
        <v>5307</v>
      </c>
    </row>
    <row r="635" spans="1:8" ht="14" customHeight="1" x14ac:dyDescent="0.2">
      <c r="A635" t="s">
        <v>2529</v>
      </c>
      <c r="B635" t="s">
        <v>3633</v>
      </c>
      <c r="C635" t="s">
        <v>3117</v>
      </c>
      <c r="D635" s="5" t="s">
        <v>5974</v>
      </c>
      <c r="E635" t="s">
        <v>1216</v>
      </c>
      <c r="F635" t="s">
        <v>5308</v>
      </c>
      <c r="G635" t="s">
        <v>1217</v>
      </c>
      <c r="H635" t="s">
        <v>5309</v>
      </c>
    </row>
    <row r="636" spans="1:8" ht="14" customHeight="1" x14ac:dyDescent="0.2">
      <c r="A636" t="s">
        <v>2530</v>
      </c>
      <c r="B636" t="s">
        <v>2530</v>
      </c>
      <c r="E636" t="e">
        <f>- a paycheck never bounced
- if you are an all-star employee you can enjoy not being the target of the vulgar language being directed at you.
-the location of the office was also convenient being near two highways.
- great fellow employees, when I Worked there.
- your CEO will care so much, that he will post his own review on Glassdoor.</f>
        <v>#NAME?</v>
      </c>
      <c r="F636" t="s">
        <v>5310</v>
      </c>
      <c r="G636" s="1" t="s">
        <v>1218</v>
      </c>
      <c r="H636" t="s">
        <v>5311</v>
      </c>
    </row>
    <row r="637" spans="1:8" ht="14" customHeight="1" x14ac:dyDescent="0.2">
      <c r="A637" t="s">
        <v>2531</v>
      </c>
      <c r="B637" t="s">
        <v>2531</v>
      </c>
      <c r="E637" t="e">
        <f>- amazing peers
- the opportunity to bond over the shared experience
- opportunities to learn Lots of different projects</f>
        <v>#NAME?</v>
      </c>
      <c r="F637" t="s">
        <v>5312</v>
      </c>
      <c r="G637" t="e">
        <f>- Overconfident but inexperienced leaders in the business
- Constant changing priorities, but No time to onboard or train For those
- very restrictive in terms of Personal freedoms - you have a set lunch break, and having to complete timesheets For every moment spent creates a lack of trust
- There is a lot of Micromanagement, so it is difficult to get things done without being blocked by your managers.
- There is a Big Blame culture within the business - you need to spend a lot of time covering yourself to avoid being told off
- SLT does not take on feedback from the team
- very high turnover of staff due to the stress levels
- little work/life balance
- culture of favoritism and nepotism
- Long contracts with large financial penalties if you want to leave early</f>
        <v>#NAME?</v>
      </c>
      <c r="H637" t="s">
        <v>5313</v>
      </c>
    </row>
    <row r="638" spans="1:8" ht="14" customHeight="1" x14ac:dyDescent="0.2">
      <c r="A638" t="s">
        <v>2532</v>
      </c>
      <c r="B638" t="s">
        <v>2532</v>
      </c>
      <c r="E638" s="1" t="s">
        <v>1219</v>
      </c>
      <c r="F638" t="s">
        <v>5314</v>
      </c>
      <c r="G638" s="1" t="s">
        <v>1220</v>
      </c>
      <c r="H638" t="s">
        <v>5315</v>
      </c>
    </row>
    <row r="639" spans="1:8" ht="14" customHeight="1" x14ac:dyDescent="0.2">
      <c r="A639" t="s">
        <v>2217</v>
      </c>
      <c r="B639" t="s">
        <v>2217</v>
      </c>
      <c r="E639" t="s">
        <v>1221</v>
      </c>
      <c r="F639" t="s">
        <v>5316</v>
      </c>
      <c r="G639" t="s">
        <v>1222</v>
      </c>
      <c r="H639" t="s">
        <v>5317</v>
      </c>
    </row>
    <row r="640" spans="1:8" ht="14" customHeight="1" x14ac:dyDescent="0.2">
      <c r="A640" t="s">
        <v>2533</v>
      </c>
      <c r="B640" t="s">
        <v>2533</v>
      </c>
      <c r="E640" t="e">
        <f>-I had amazing co-workers
-Parking was Decent</f>
        <v>#NAME?</v>
      </c>
      <c r="F640" t="s">
        <v>5318</v>
      </c>
      <c r="G640" t="e">
        <f>-leadership is Terrible and provides very little support
-Benefits kept Getting reduced
-turnover is very high
-No consistency
-unorganized
-Undervalued
-lack of training For new employees</f>
        <v>#NAME?</v>
      </c>
      <c r="H640" t="s">
        <v>5319</v>
      </c>
    </row>
    <row r="641" spans="1:8" ht="14" customHeight="1" x14ac:dyDescent="0.2">
      <c r="A641" t="s">
        <v>2534</v>
      </c>
      <c r="B641" t="s">
        <v>3634</v>
      </c>
      <c r="E641" t="s">
        <v>1223</v>
      </c>
      <c r="F641" t="s">
        <v>5320</v>
      </c>
      <c r="G641" s="1" t="s">
        <v>1224</v>
      </c>
      <c r="H641" t="s">
        <v>5321</v>
      </c>
    </row>
    <row r="642" spans="1:8" ht="14" customHeight="1" x14ac:dyDescent="0.2">
      <c r="A642" t="s">
        <v>2535</v>
      </c>
      <c r="B642" t="s">
        <v>2535</v>
      </c>
      <c r="E642" t="s">
        <v>1225</v>
      </c>
      <c r="F642" t="s">
        <v>5322</v>
      </c>
      <c r="G642" t="s">
        <v>1226</v>
      </c>
      <c r="H642" t="s">
        <v>5323</v>
      </c>
    </row>
    <row r="643" spans="1:8" ht="14" customHeight="1" x14ac:dyDescent="0.2">
      <c r="A643" t="s">
        <v>2536</v>
      </c>
      <c r="B643" t="s">
        <v>2536</v>
      </c>
      <c r="E643" s="1" t="s">
        <v>1227</v>
      </c>
      <c r="F643" t="s">
        <v>5324</v>
      </c>
      <c r="G643" s="1" t="s">
        <v>1228</v>
      </c>
      <c r="H643" t="s">
        <v>5325</v>
      </c>
    </row>
    <row r="644" spans="1:8" ht="14" customHeight="1" x14ac:dyDescent="0.2">
      <c r="A644" t="s">
        <v>2497</v>
      </c>
      <c r="B644" t="s">
        <v>2497</v>
      </c>
      <c r="E644" t="s">
        <v>1229</v>
      </c>
      <c r="F644" t="s">
        <v>5326</v>
      </c>
      <c r="G644" s="1" t="s">
        <v>1230</v>
      </c>
      <c r="H644" t="s">
        <v>5327</v>
      </c>
    </row>
    <row r="645" spans="1:8" ht="14" customHeight="1" x14ac:dyDescent="0.2">
      <c r="A645" t="s">
        <v>2537</v>
      </c>
      <c r="B645" t="s">
        <v>2537</v>
      </c>
      <c r="E645" t="s">
        <v>1231</v>
      </c>
      <c r="F645" t="s">
        <v>5328</v>
      </c>
      <c r="G645" t="s">
        <v>1232</v>
      </c>
      <c r="H645" t="s">
        <v>5329</v>
      </c>
    </row>
    <row r="646" spans="1:8" ht="14" customHeight="1" x14ac:dyDescent="0.2">
      <c r="A646" t="s">
        <v>2538</v>
      </c>
      <c r="B646" t="s">
        <v>2538</v>
      </c>
      <c r="E646" s="1" t="s">
        <v>1233</v>
      </c>
      <c r="F646" t="s">
        <v>5330</v>
      </c>
      <c r="G646" t="e">
        <f>- very slow development of features
- Interesting features are never released, Mostly Stay on the conceptual stage</f>
        <v>#NAME?</v>
      </c>
      <c r="H646" t="s">
        <v>5331</v>
      </c>
    </row>
    <row r="647" spans="1:8" ht="14" customHeight="1" x14ac:dyDescent="0.2">
      <c r="A647" t="s">
        <v>2539</v>
      </c>
      <c r="B647" t="s">
        <v>3635</v>
      </c>
      <c r="E647" t="s">
        <v>1234</v>
      </c>
      <c r="F647" t="s">
        <v>5332</v>
      </c>
      <c r="G647" t="s">
        <v>1235</v>
      </c>
      <c r="H647" t="s">
        <v>5333</v>
      </c>
    </row>
    <row r="648" spans="1:8" ht="14" customHeight="1" x14ac:dyDescent="0.2">
      <c r="A648" t="s">
        <v>2540</v>
      </c>
      <c r="B648" t="s">
        <v>3636</v>
      </c>
      <c r="E648" t="s">
        <v>1236</v>
      </c>
      <c r="F648" t="s">
        <v>1236</v>
      </c>
      <c r="G648" s="1" t="s">
        <v>1237</v>
      </c>
      <c r="H648" t="s">
        <v>5334</v>
      </c>
    </row>
    <row r="649" spans="1:8" ht="14" customHeight="1" x14ac:dyDescent="0.2">
      <c r="A649" t="s">
        <v>2541</v>
      </c>
      <c r="B649" t="s">
        <v>3637</v>
      </c>
      <c r="E649" s="1" t="s">
        <v>1238</v>
      </c>
      <c r="F649" t="s">
        <v>5335</v>
      </c>
      <c r="G649" s="1" t="s">
        <v>1239</v>
      </c>
      <c r="H649" t="s">
        <v>5336</v>
      </c>
    </row>
    <row r="650" spans="1:8" ht="14" customHeight="1" x14ac:dyDescent="0.2">
      <c r="A650" t="s">
        <v>2542</v>
      </c>
      <c r="B650" t="s">
        <v>3638</v>
      </c>
      <c r="E650" t="s">
        <v>1240</v>
      </c>
      <c r="F650" t="s">
        <v>1240</v>
      </c>
      <c r="G650" t="s">
        <v>1241</v>
      </c>
      <c r="H650" t="s">
        <v>5337</v>
      </c>
    </row>
    <row r="651" spans="1:8" ht="14" customHeight="1" x14ac:dyDescent="0.2">
      <c r="A651" t="s">
        <v>2543</v>
      </c>
      <c r="B651" t="s">
        <v>2543</v>
      </c>
      <c r="E651" t="s">
        <v>1242</v>
      </c>
      <c r="G651" t="s">
        <v>1243</v>
      </c>
      <c r="H651" t="s">
        <v>5338</v>
      </c>
    </row>
    <row r="652" spans="1:8" ht="14" customHeight="1" x14ac:dyDescent="0.2">
      <c r="A652" t="s">
        <v>2544</v>
      </c>
      <c r="B652" t="s">
        <v>2544</v>
      </c>
      <c r="E652" t="s">
        <v>1244</v>
      </c>
      <c r="F652" t="s">
        <v>5339</v>
      </c>
      <c r="G652" t="s">
        <v>1245</v>
      </c>
      <c r="H652" t="s">
        <v>5340</v>
      </c>
    </row>
    <row r="653" spans="1:8" ht="14" customHeight="1" x14ac:dyDescent="0.2">
      <c r="A653" t="s">
        <v>2545</v>
      </c>
      <c r="B653" t="s">
        <v>3639</v>
      </c>
      <c r="E653" t="s">
        <v>1246</v>
      </c>
      <c r="F653" t="s">
        <v>5341</v>
      </c>
      <c r="G653" s="1" t="s">
        <v>1247</v>
      </c>
      <c r="H653" t="s">
        <v>5342</v>
      </c>
    </row>
    <row r="654" spans="1:8" ht="14" customHeight="1" x14ac:dyDescent="0.2">
      <c r="A654" t="s">
        <v>2546</v>
      </c>
      <c r="B654" t="s">
        <v>3640</v>
      </c>
      <c r="E654" t="s">
        <v>1248</v>
      </c>
      <c r="F654" t="s">
        <v>5343</v>
      </c>
      <c r="G654" s="1" t="s">
        <v>1249</v>
      </c>
      <c r="H654" t="s">
        <v>5344</v>
      </c>
    </row>
    <row r="655" spans="1:8" ht="14" customHeight="1" x14ac:dyDescent="0.2">
      <c r="A655" t="s">
        <v>2547</v>
      </c>
      <c r="B655" t="s">
        <v>3641</v>
      </c>
      <c r="E655" t="s">
        <v>1250</v>
      </c>
      <c r="F655" t="s">
        <v>5345</v>
      </c>
      <c r="G655" t="s">
        <v>1251</v>
      </c>
      <c r="H655" t="s">
        <v>5346</v>
      </c>
    </row>
    <row r="656" spans="1:8" ht="14" customHeight="1" x14ac:dyDescent="0.2">
      <c r="A656" t="s">
        <v>2548</v>
      </c>
      <c r="B656" t="s">
        <v>3642</v>
      </c>
      <c r="E656" t="s">
        <v>1252</v>
      </c>
      <c r="F656" t="s">
        <v>5347</v>
      </c>
      <c r="G656" t="s">
        <v>1253</v>
      </c>
      <c r="H656" t="s">
        <v>5348</v>
      </c>
    </row>
    <row r="657" spans="1:8" ht="14" customHeight="1" x14ac:dyDescent="0.2">
      <c r="A657" t="s">
        <v>2549</v>
      </c>
      <c r="B657" t="s">
        <v>3643</v>
      </c>
      <c r="E657" s="1" t="s">
        <v>1254</v>
      </c>
      <c r="F657" t="s">
        <v>5349</v>
      </c>
      <c r="G657" s="1" t="s">
        <v>1255</v>
      </c>
      <c r="H657" t="s">
        <v>5350</v>
      </c>
    </row>
    <row r="658" spans="1:8" ht="14" customHeight="1" x14ac:dyDescent="0.2">
      <c r="A658" t="s">
        <v>2550</v>
      </c>
      <c r="B658" t="s">
        <v>2550</v>
      </c>
      <c r="E658" t="s">
        <v>1256</v>
      </c>
      <c r="F658" t="s">
        <v>5351</v>
      </c>
      <c r="G658" t="s">
        <v>1257</v>
      </c>
      <c r="H658" t="s">
        <v>5352</v>
      </c>
    </row>
    <row r="659" spans="1:8" ht="14" customHeight="1" x14ac:dyDescent="0.2">
      <c r="A659" t="s">
        <v>2551</v>
      </c>
      <c r="B659" t="s">
        <v>3644</v>
      </c>
      <c r="E659" s="1" t="s">
        <v>1258</v>
      </c>
      <c r="F659" t="s">
        <v>5353</v>
      </c>
      <c r="G659" s="1" t="s">
        <v>1259</v>
      </c>
      <c r="H659" t="s">
        <v>5354</v>
      </c>
    </row>
    <row r="660" spans="1:8" ht="14" customHeight="1" x14ac:dyDescent="0.2">
      <c r="A660" t="s">
        <v>2552</v>
      </c>
      <c r="B660" t="s">
        <v>2552</v>
      </c>
      <c r="E660" t="s">
        <v>1260</v>
      </c>
      <c r="F660" t="s">
        <v>1260</v>
      </c>
      <c r="G660" t="s">
        <v>1261</v>
      </c>
      <c r="H660" t="s">
        <v>5355</v>
      </c>
    </row>
    <row r="661" spans="1:8" ht="14" customHeight="1" x14ac:dyDescent="0.2">
      <c r="A661" t="s">
        <v>2553</v>
      </c>
      <c r="B661" t="s">
        <v>3645</v>
      </c>
      <c r="C661" t="s">
        <v>3118</v>
      </c>
      <c r="D661" t="s">
        <v>4103</v>
      </c>
      <c r="E661" t="s">
        <v>1262</v>
      </c>
      <c r="F661" t="s">
        <v>1262</v>
      </c>
      <c r="G661" t="s">
        <v>1263</v>
      </c>
      <c r="H661" t="s">
        <v>5356</v>
      </c>
    </row>
    <row r="662" spans="1:8" ht="14" customHeight="1" x14ac:dyDescent="0.2">
      <c r="A662" t="s">
        <v>2554</v>
      </c>
      <c r="B662" t="s">
        <v>2554</v>
      </c>
      <c r="C662" t="s">
        <v>3119</v>
      </c>
      <c r="D662" t="s">
        <v>4104</v>
      </c>
      <c r="E662" t="s">
        <v>1264</v>
      </c>
      <c r="F662" t="s">
        <v>5357</v>
      </c>
      <c r="G662" t="s">
        <v>1265</v>
      </c>
      <c r="H662" t="s">
        <v>5358</v>
      </c>
    </row>
    <row r="663" spans="1:8" ht="14" customHeight="1" x14ac:dyDescent="0.2">
      <c r="A663" t="s">
        <v>2555</v>
      </c>
      <c r="B663" t="s">
        <v>3646</v>
      </c>
      <c r="E663" t="s">
        <v>1266</v>
      </c>
      <c r="F663" t="s">
        <v>5359</v>
      </c>
      <c r="G663" t="s">
        <v>1267</v>
      </c>
      <c r="H663" t="s">
        <v>5360</v>
      </c>
    </row>
    <row r="664" spans="1:8" ht="14" customHeight="1" x14ac:dyDescent="0.2">
      <c r="A664" t="s">
        <v>2556</v>
      </c>
      <c r="B664" t="s">
        <v>2556</v>
      </c>
      <c r="E664" t="s">
        <v>1268</v>
      </c>
      <c r="F664" t="s">
        <v>5361</v>
      </c>
      <c r="G664" s="1" t="s">
        <v>1269</v>
      </c>
      <c r="H664" t="s">
        <v>5362</v>
      </c>
    </row>
    <row r="665" spans="1:8" ht="14" customHeight="1" x14ac:dyDescent="0.2">
      <c r="A665" t="s">
        <v>2557</v>
      </c>
      <c r="B665" t="s">
        <v>2586</v>
      </c>
      <c r="E665" t="s">
        <v>1270</v>
      </c>
      <c r="F665" t="s">
        <v>1270</v>
      </c>
      <c r="G665" t="s">
        <v>1271</v>
      </c>
      <c r="H665" t="s">
        <v>5363</v>
      </c>
    </row>
    <row r="666" spans="1:8" ht="14" customHeight="1" x14ac:dyDescent="0.2">
      <c r="A666" t="s">
        <v>2558</v>
      </c>
      <c r="B666" t="s">
        <v>2558</v>
      </c>
      <c r="E666" s="1" t="s">
        <v>1272</v>
      </c>
      <c r="F666" t="s">
        <v>5364</v>
      </c>
      <c r="G666" s="1" t="s">
        <v>1273</v>
      </c>
      <c r="H666" t="s">
        <v>5365</v>
      </c>
    </row>
    <row r="667" spans="1:8" ht="14" customHeight="1" x14ac:dyDescent="0.2">
      <c r="A667" t="s">
        <v>2559</v>
      </c>
      <c r="B667" t="s">
        <v>2559</v>
      </c>
      <c r="E667" s="1" t="s">
        <v>1274</v>
      </c>
      <c r="F667" t="s">
        <v>5366</v>
      </c>
      <c r="G667" s="1" t="s">
        <v>1275</v>
      </c>
      <c r="H667" t="s">
        <v>5367</v>
      </c>
    </row>
    <row r="668" spans="1:8" ht="14" customHeight="1" x14ac:dyDescent="0.2">
      <c r="A668" t="s">
        <v>2560</v>
      </c>
      <c r="B668" t="s">
        <v>3647</v>
      </c>
      <c r="C668" t="s">
        <v>3120</v>
      </c>
      <c r="D668" t="s">
        <v>4105</v>
      </c>
      <c r="E668" t="s">
        <v>1276</v>
      </c>
      <c r="F668" t="s">
        <v>5368</v>
      </c>
      <c r="G668" t="s">
        <v>1277</v>
      </c>
      <c r="H668" t="s">
        <v>5369</v>
      </c>
    </row>
    <row r="669" spans="1:8" ht="14" customHeight="1" x14ac:dyDescent="0.2">
      <c r="A669" t="s">
        <v>2561</v>
      </c>
      <c r="B669" t="s">
        <v>2561</v>
      </c>
      <c r="C669" t="s">
        <v>3121</v>
      </c>
      <c r="D669" t="s">
        <v>4106</v>
      </c>
      <c r="E669" t="s">
        <v>1278</v>
      </c>
      <c r="F669" t="s">
        <v>5370</v>
      </c>
      <c r="G669" t="s">
        <v>1279</v>
      </c>
      <c r="H669" t="s">
        <v>5371</v>
      </c>
    </row>
    <row r="670" spans="1:8" ht="14" customHeight="1" x14ac:dyDescent="0.2">
      <c r="A670" t="s">
        <v>2562</v>
      </c>
      <c r="B670" t="s">
        <v>3648</v>
      </c>
      <c r="C670" t="s">
        <v>3122</v>
      </c>
      <c r="D670" t="s">
        <v>3122</v>
      </c>
      <c r="E670" t="s">
        <v>1280</v>
      </c>
      <c r="F670" t="s">
        <v>5372</v>
      </c>
      <c r="G670" t="s">
        <v>1281</v>
      </c>
      <c r="H670" t="s">
        <v>5373</v>
      </c>
    </row>
    <row r="671" spans="1:8" ht="14" customHeight="1" x14ac:dyDescent="0.2">
      <c r="A671" t="s">
        <v>1947</v>
      </c>
      <c r="E671" t="s">
        <v>1282</v>
      </c>
      <c r="F671" t="s">
        <v>5374</v>
      </c>
      <c r="G671" t="s">
        <v>1283</v>
      </c>
      <c r="H671" t="s">
        <v>5375</v>
      </c>
    </row>
    <row r="672" spans="1:8" ht="14" customHeight="1" x14ac:dyDescent="0.2">
      <c r="A672" t="s">
        <v>2563</v>
      </c>
      <c r="B672" t="s">
        <v>3649</v>
      </c>
      <c r="C672" t="s">
        <v>3123</v>
      </c>
      <c r="D672" t="s">
        <v>4107</v>
      </c>
      <c r="E672" t="s">
        <v>1284</v>
      </c>
      <c r="F672" t="s">
        <v>5376</v>
      </c>
      <c r="G672" t="s">
        <v>1285</v>
      </c>
      <c r="H672" t="s">
        <v>5377</v>
      </c>
    </row>
    <row r="673" spans="1:8" ht="14" customHeight="1" x14ac:dyDescent="0.2">
      <c r="A673" t="s">
        <v>2564</v>
      </c>
      <c r="B673" t="s">
        <v>3650</v>
      </c>
      <c r="C673" s="1" t="s">
        <v>3124</v>
      </c>
      <c r="D673" t="s">
        <v>4108</v>
      </c>
      <c r="E673" s="1" t="s">
        <v>1286</v>
      </c>
      <c r="F673" t="s">
        <v>5378</v>
      </c>
      <c r="G673" s="1" t="s">
        <v>1287</v>
      </c>
      <c r="H673" t="s">
        <v>5379</v>
      </c>
    </row>
    <row r="674" spans="1:8" ht="14" customHeight="1" x14ac:dyDescent="0.2">
      <c r="A674" t="s">
        <v>2565</v>
      </c>
      <c r="E674" t="s">
        <v>1288</v>
      </c>
      <c r="F674" t="s">
        <v>5380</v>
      </c>
      <c r="G674" t="s">
        <v>1289</v>
      </c>
      <c r="H674" t="s">
        <v>5381</v>
      </c>
    </row>
    <row r="675" spans="1:8" ht="14" customHeight="1" x14ac:dyDescent="0.2">
      <c r="A675" t="s">
        <v>2566</v>
      </c>
      <c r="B675" t="s">
        <v>3651</v>
      </c>
      <c r="E675" t="s">
        <v>1290</v>
      </c>
      <c r="F675" t="s">
        <v>5382</v>
      </c>
      <c r="G675" t="s">
        <v>1291</v>
      </c>
      <c r="H675" t="s">
        <v>5383</v>
      </c>
    </row>
    <row r="676" spans="1:8" ht="14" customHeight="1" x14ac:dyDescent="0.2">
      <c r="A676" t="s">
        <v>2567</v>
      </c>
      <c r="B676" t="s">
        <v>2567</v>
      </c>
      <c r="E676" t="s">
        <v>1292</v>
      </c>
      <c r="F676" t="s">
        <v>1292</v>
      </c>
      <c r="G676" t="s">
        <v>1293</v>
      </c>
      <c r="H676" t="s">
        <v>5384</v>
      </c>
    </row>
    <row r="677" spans="1:8" ht="14" customHeight="1" x14ac:dyDescent="0.2">
      <c r="A677" t="s">
        <v>2568</v>
      </c>
      <c r="B677" t="s">
        <v>3652</v>
      </c>
      <c r="E677" s="1" t="s">
        <v>1294</v>
      </c>
      <c r="F677" t="s">
        <v>5385</v>
      </c>
      <c r="G677" s="1" t="s">
        <v>1295</v>
      </c>
      <c r="H677" t="s">
        <v>5386</v>
      </c>
    </row>
    <row r="678" spans="1:8" ht="14" customHeight="1" x14ac:dyDescent="0.2">
      <c r="A678" t="s">
        <v>2569</v>
      </c>
      <c r="B678" t="s">
        <v>3653</v>
      </c>
      <c r="E678" t="s">
        <v>1296</v>
      </c>
      <c r="F678" t="s">
        <v>5387</v>
      </c>
      <c r="G678" s="1" t="s">
        <v>1297</v>
      </c>
      <c r="H678" t="s">
        <v>5388</v>
      </c>
    </row>
    <row r="679" spans="1:8" ht="14" customHeight="1" x14ac:dyDescent="0.2">
      <c r="A679" t="s">
        <v>2570</v>
      </c>
      <c r="B679" t="s">
        <v>3654</v>
      </c>
      <c r="C679" t="e">
        <f>-have our raises For next year be worth it or you will lose employees
-Let US take as much vacation as we need without feeling like a burden
-hire more people to help with the high case loads</f>
        <v>#NAME?</v>
      </c>
      <c r="D679" t="s">
        <v>4109</v>
      </c>
      <c r="E679" s="1" t="s">
        <v>1298</v>
      </c>
      <c r="F679" t="s">
        <v>5389</v>
      </c>
      <c r="G679" s="1" t="s">
        <v>1299</v>
      </c>
      <c r="H679" t="s">
        <v>5390</v>
      </c>
    </row>
    <row r="680" spans="1:8" ht="14" customHeight="1" x14ac:dyDescent="0.2">
      <c r="A680" t="s">
        <v>2571</v>
      </c>
      <c r="B680" t="s">
        <v>2571</v>
      </c>
      <c r="E680" t="s">
        <v>1300</v>
      </c>
      <c r="F680" t="s">
        <v>5391</v>
      </c>
      <c r="G680" t="s">
        <v>1301</v>
      </c>
      <c r="H680" t="s">
        <v>5392</v>
      </c>
    </row>
    <row r="681" spans="1:8" ht="14" customHeight="1" x14ac:dyDescent="0.2">
      <c r="A681" t="s">
        <v>2572</v>
      </c>
      <c r="B681" t="s">
        <v>3655</v>
      </c>
      <c r="E681" t="s">
        <v>1302</v>
      </c>
      <c r="F681" t="s">
        <v>5393</v>
      </c>
      <c r="G681" t="s">
        <v>1303</v>
      </c>
      <c r="H681" t="s">
        <v>5394</v>
      </c>
    </row>
    <row r="682" spans="1:8" ht="14" customHeight="1" x14ac:dyDescent="0.2">
      <c r="A682" t="s">
        <v>2573</v>
      </c>
      <c r="B682" t="s">
        <v>3656</v>
      </c>
      <c r="E682" t="s">
        <v>1304</v>
      </c>
      <c r="F682" t="s">
        <v>1304</v>
      </c>
      <c r="G682" t="s">
        <v>1305</v>
      </c>
      <c r="H682" t="s">
        <v>5395</v>
      </c>
    </row>
    <row r="683" spans="1:8" ht="14" customHeight="1" x14ac:dyDescent="0.2">
      <c r="A683" t="s">
        <v>2574</v>
      </c>
      <c r="B683" t="s">
        <v>3657</v>
      </c>
      <c r="E683" t="s">
        <v>1306</v>
      </c>
      <c r="F683" t="s">
        <v>5396</v>
      </c>
      <c r="G683" s="1" t="s">
        <v>1307</v>
      </c>
      <c r="H683" t="s">
        <v>5397</v>
      </c>
    </row>
    <row r="684" spans="1:8" ht="14" customHeight="1" x14ac:dyDescent="0.2">
      <c r="A684" t="s">
        <v>2575</v>
      </c>
      <c r="B684" t="s">
        <v>2090</v>
      </c>
      <c r="E684" t="e">
        <f>- Awesome Coffee
- great co-workers
- Discounted Drinks</f>
        <v>#NAME?</v>
      </c>
      <c r="F684" t="s">
        <v>5398</v>
      </c>
      <c r="G684" s="1" t="s">
        <v>1308</v>
      </c>
      <c r="H684" t="s">
        <v>5399</v>
      </c>
    </row>
    <row r="685" spans="1:8" ht="14" customHeight="1" x14ac:dyDescent="0.2">
      <c r="A685" t="s">
        <v>2576</v>
      </c>
      <c r="B685" t="s">
        <v>2576</v>
      </c>
      <c r="E685" t="s">
        <v>1309</v>
      </c>
      <c r="F685" t="s">
        <v>5400</v>
      </c>
      <c r="G685" t="s">
        <v>1310</v>
      </c>
      <c r="H685" t="s">
        <v>5401</v>
      </c>
    </row>
    <row r="686" spans="1:8" ht="14" customHeight="1" x14ac:dyDescent="0.2">
      <c r="A686" t="s">
        <v>2148</v>
      </c>
      <c r="B686" t="s">
        <v>2148</v>
      </c>
      <c r="E686" t="e">
        <f>- Lots of very talented professionals to learn from
- Management Cares about employees
- flexible hours
- Good career Progression</f>
        <v>#NAME?</v>
      </c>
      <c r="F686" t="s">
        <v>5402</v>
      </c>
      <c r="G686" s="1" t="s">
        <v>1311</v>
      </c>
      <c r="H686" t="s">
        <v>5403</v>
      </c>
    </row>
    <row r="687" spans="1:8" ht="14" customHeight="1" x14ac:dyDescent="0.2">
      <c r="A687" t="s">
        <v>2577</v>
      </c>
      <c r="B687" t="s">
        <v>3658</v>
      </c>
      <c r="E687" s="1" t="s">
        <v>1312</v>
      </c>
      <c r="F687" t="s">
        <v>5404</v>
      </c>
      <c r="G687" s="1" t="s">
        <v>1313</v>
      </c>
      <c r="H687" t="s">
        <v>5405</v>
      </c>
    </row>
    <row r="688" spans="1:8" ht="14" customHeight="1" x14ac:dyDescent="0.2">
      <c r="A688" t="s">
        <v>2578</v>
      </c>
      <c r="B688" t="s">
        <v>2578</v>
      </c>
      <c r="E688" s="1" t="s">
        <v>1314</v>
      </c>
      <c r="F688" t="s">
        <v>5406</v>
      </c>
      <c r="G688" s="1" t="s">
        <v>1315</v>
      </c>
      <c r="H688" t="s">
        <v>5407</v>
      </c>
    </row>
    <row r="689" spans="1:8" ht="14" customHeight="1" x14ac:dyDescent="0.2">
      <c r="A689" t="s">
        <v>2579</v>
      </c>
      <c r="B689" t="s">
        <v>3659</v>
      </c>
      <c r="E689" t="s">
        <v>1316</v>
      </c>
      <c r="F689" t="s">
        <v>5408</v>
      </c>
      <c r="G689" t="s">
        <v>1317</v>
      </c>
      <c r="H689" t="s">
        <v>5409</v>
      </c>
    </row>
    <row r="690" spans="1:8" ht="14" customHeight="1" x14ac:dyDescent="0.2">
      <c r="A690" t="s">
        <v>2580</v>
      </c>
      <c r="B690" t="s">
        <v>3660</v>
      </c>
      <c r="E690" t="e">
        <f>-Genuinely worthwhile job
-great Colleagues
-great Benefits
-great system For booking holidays and logging overtime
-great training
-Hopefully going into the future, a flexible employer who will allow a Good amount of home-working (this was excellent during Covid)</f>
        <v>#NAME?</v>
      </c>
      <c r="F690" t="s">
        <v>5410</v>
      </c>
      <c r="G690" s="1" t="s">
        <v>1318</v>
      </c>
      <c r="H690" t="s">
        <v>5411</v>
      </c>
    </row>
    <row r="691" spans="1:8" ht="14" customHeight="1" x14ac:dyDescent="0.2">
      <c r="A691" t="s">
        <v>2581</v>
      </c>
      <c r="B691" t="s">
        <v>3661</v>
      </c>
      <c r="E691" t="s">
        <v>1319</v>
      </c>
      <c r="F691" t="s">
        <v>5412</v>
      </c>
      <c r="G691" t="s">
        <v>1320</v>
      </c>
      <c r="H691" t="s">
        <v>5413</v>
      </c>
    </row>
    <row r="692" spans="1:8" ht="14" customHeight="1" x14ac:dyDescent="0.2">
      <c r="A692" t="s">
        <v>2582</v>
      </c>
      <c r="B692" t="s">
        <v>3662</v>
      </c>
      <c r="E692" t="s">
        <v>1321</v>
      </c>
      <c r="F692" t="s">
        <v>5414</v>
      </c>
      <c r="G692" t="s">
        <v>1322</v>
      </c>
      <c r="H692" t="s">
        <v>5415</v>
      </c>
    </row>
    <row r="693" spans="1:8" ht="14" customHeight="1" x14ac:dyDescent="0.2">
      <c r="A693" t="s">
        <v>2583</v>
      </c>
      <c r="B693" t="s">
        <v>3663</v>
      </c>
      <c r="E693" t="s">
        <v>1323</v>
      </c>
      <c r="F693" t="s">
        <v>5416</v>
      </c>
      <c r="G693" t="s">
        <v>1324</v>
      </c>
      <c r="H693" t="s">
        <v>5417</v>
      </c>
    </row>
    <row r="694" spans="1:8" ht="14" customHeight="1" x14ac:dyDescent="0.2">
      <c r="A694" t="s">
        <v>2584</v>
      </c>
      <c r="B694" t="s">
        <v>2584</v>
      </c>
      <c r="E694" t="s">
        <v>1325</v>
      </c>
      <c r="F694" t="s">
        <v>5418</v>
      </c>
      <c r="G694" t="s">
        <v>1326</v>
      </c>
      <c r="H694" t="s">
        <v>5419</v>
      </c>
    </row>
    <row r="695" spans="1:8" ht="14" customHeight="1" x14ac:dyDescent="0.2">
      <c r="A695" t="s">
        <v>2585</v>
      </c>
      <c r="B695" t="s">
        <v>3664</v>
      </c>
      <c r="E695" t="s">
        <v>1327</v>
      </c>
      <c r="F695" t="s">
        <v>5420</v>
      </c>
      <c r="G695" t="s">
        <v>1328</v>
      </c>
      <c r="H695" t="s">
        <v>5421</v>
      </c>
    </row>
    <row r="696" spans="1:8" ht="14" customHeight="1" x14ac:dyDescent="0.2">
      <c r="A696" t="s">
        <v>2586</v>
      </c>
      <c r="B696" t="s">
        <v>2586</v>
      </c>
      <c r="E696" s="1" t="s">
        <v>1329</v>
      </c>
      <c r="F696" t="s">
        <v>5422</v>
      </c>
      <c r="G696" s="1" t="s">
        <v>1330</v>
      </c>
      <c r="H696" t="s">
        <v>5423</v>
      </c>
    </row>
    <row r="697" spans="1:8" ht="14" customHeight="1" x14ac:dyDescent="0.2">
      <c r="A697" t="s">
        <v>2587</v>
      </c>
      <c r="B697" t="s">
        <v>3665</v>
      </c>
      <c r="E697" t="s">
        <v>1331</v>
      </c>
      <c r="F697" t="s">
        <v>5424</v>
      </c>
      <c r="G697" s="1" t="s">
        <v>1332</v>
      </c>
      <c r="H697" t="s">
        <v>5425</v>
      </c>
    </row>
    <row r="698" spans="1:8" ht="14" customHeight="1" x14ac:dyDescent="0.2">
      <c r="A698" t="s">
        <v>2588</v>
      </c>
      <c r="B698" t="s">
        <v>2588</v>
      </c>
      <c r="E698" t="s">
        <v>1333</v>
      </c>
      <c r="G698" t="s">
        <v>1334</v>
      </c>
      <c r="H698" t="s">
        <v>5426</v>
      </c>
    </row>
    <row r="699" spans="1:8" ht="14" customHeight="1" x14ac:dyDescent="0.2">
      <c r="A699" t="s">
        <v>2589</v>
      </c>
      <c r="B699" t="s">
        <v>3666</v>
      </c>
      <c r="E699" t="s">
        <v>1335</v>
      </c>
      <c r="F699" t="s">
        <v>5427</v>
      </c>
      <c r="G699" s="1" t="s">
        <v>1336</v>
      </c>
      <c r="H699" t="s">
        <v>5428</v>
      </c>
    </row>
    <row r="700" spans="1:8" ht="14" customHeight="1" x14ac:dyDescent="0.2">
      <c r="A700" t="s">
        <v>2590</v>
      </c>
      <c r="B700" t="s">
        <v>2590</v>
      </c>
      <c r="E700" t="s">
        <v>1337</v>
      </c>
      <c r="F700" t="s">
        <v>5429</v>
      </c>
      <c r="G700" t="s">
        <v>1338</v>
      </c>
      <c r="H700" t="s">
        <v>5430</v>
      </c>
    </row>
    <row r="701" spans="1:8" ht="14" customHeight="1" x14ac:dyDescent="0.2">
      <c r="A701" t="s">
        <v>2591</v>
      </c>
      <c r="B701" t="s">
        <v>3667</v>
      </c>
      <c r="E701" t="s">
        <v>1339</v>
      </c>
      <c r="F701" t="s">
        <v>5431</v>
      </c>
      <c r="G701" t="s">
        <v>1340</v>
      </c>
      <c r="H701" t="s">
        <v>5432</v>
      </c>
    </row>
    <row r="702" spans="1:8" ht="14" customHeight="1" x14ac:dyDescent="0.2">
      <c r="A702" t="s">
        <v>2592</v>
      </c>
      <c r="C702" t="s">
        <v>3125</v>
      </c>
      <c r="D702" t="s">
        <v>4110</v>
      </c>
      <c r="E702" t="s">
        <v>1341</v>
      </c>
      <c r="F702" t="s">
        <v>5433</v>
      </c>
      <c r="G702" t="s">
        <v>1342</v>
      </c>
      <c r="H702" t="s">
        <v>5434</v>
      </c>
    </row>
    <row r="703" spans="1:8" ht="14" customHeight="1" x14ac:dyDescent="0.2">
      <c r="A703" t="s">
        <v>2593</v>
      </c>
      <c r="B703" t="s">
        <v>2593</v>
      </c>
      <c r="E703" t="s">
        <v>1343</v>
      </c>
      <c r="F703" t="s">
        <v>5435</v>
      </c>
      <c r="G703" t="e">
        <f>- Poor Management
- Poor salary
- No Increment
- Heartless HR
- No action talk only</f>
        <v>#NAME?</v>
      </c>
      <c r="H703" t="s">
        <v>5436</v>
      </c>
    </row>
    <row r="704" spans="1:8" ht="14" customHeight="1" x14ac:dyDescent="0.2">
      <c r="A704" t="s">
        <v>2076</v>
      </c>
      <c r="B704" t="s">
        <v>2076</v>
      </c>
      <c r="E704" t="s">
        <v>1344</v>
      </c>
      <c r="F704" t="s">
        <v>5437</v>
      </c>
      <c r="G704" t="s">
        <v>1345</v>
      </c>
      <c r="H704" t="s">
        <v>5438</v>
      </c>
    </row>
    <row r="705" spans="1:8" ht="14" customHeight="1" x14ac:dyDescent="0.2">
      <c r="A705" t="s">
        <v>2594</v>
      </c>
      <c r="B705" t="s">
        <v>3668</v>
      </c>
      <c r="E705" t="s">
        <v>1346</v>
      </c>
      <c r="G705" t="s">
        <v>1347</v>
      </c>
      <c r="H705" t="s">
        <v>5439</v>
      </c>
    </row>
    <row r="706" spans="1:8" ht="14" customHeight="1" x14ac:dyDescent="0.2">
      <c r="A706" t="s">
        <v>2595</v>
      </c>
      <c r="B706" t="s">
        <v>3669</v>
      </c>
      <c r="E706" s="1" t="s">
        <v>1348</v>
      </c>
      <c r="F706" t="s">
        <v>5440</v>
      </c>
      <c r="G706" s="1" t="s">
        <v>1349</v>
      </c>
      <c r="H706" t="s">
        <v>5441</v>
      </c>
    </row>
    <row r="707" spans="1:8" ht="14" customHeight="1" x14ac:dyDescent="0.2">
      <c r="A707" t="s">
        <v>2596</v>
      </c>
      <c r="B707" t="s">
        <v>3670</v>
      </c>
      <c r="E707" t="s">
        <v>1350</v>
      </c>
      <c r="F707" t="s">
        <v>5442</v>
      </c>
      <c r="G707" s="1" t="s">
        <v>1351</v>
      </c>
      <c r="H707" t="s">
        <v>5443</v>
      </c>
    </row>
    <row r="708" spans="1:8" ht="14" customHeight="1" x14ac:dyDescent="0.2">
      <c r="A708" t="s">
        <v>2597</v>
      </c>
      <c r="B708" t="s">
        <v>3671</v>
      </c>
      <c r="E708" s="1" t="s">
        <v>1352</v>
      </c>
      <c r="F708" t="s">
        <v>5444</v>
      </c>
      <c r="G708" t="s">
        <v>1353</v>
      </c>
      <c r="H708" t="s">
        <v>5445</v>
      </c>
    </row>
    <row r="709" spans="1:8" ht="14" customHeight="1" x14ac:dyDescent="0.2">
      <c r="A709" t="s">
        <v>2598</v>
      </c>
      <c r="B709" t="s">
        <v>3672</v>
      </c>
      <c r="E709" t="s">
        <v>1354</v>
      </c>
      <c r="F709" t="s">
        <v>5446</v>
      </c>
      <c r="G709" t="s">
        <v>1355</v>
      </c>
      <c r="H709" t="s">
        <v>5447</v>
      </c>
    </row>
    <row r="710" spans="1:8" ht="14" customHeight="1" x14ac:dyDescent="0.2">
      <c r="A710" t="s">
        <v>2599</v>
      </c>
      <c r="B710" t="s">
        <v>3673</v>
      </c>
      <c r="E710" t="s">
        <v>1356</v>
      </c>
      <c r="F710" t="s">
        <v>5448</v>
      </c>
      <c r="G710" t="s">
        <v>1357</v>
      </c>
      <c r="H710" t="s">
        <v>1357</v>
      </c>
    </row>
    <row r="711" spans="1:8" ht="14" customHeight="1" x14ac:dyDescent="0.2">
      <c r="A711" t="s">
        <v>2600</v>
      </c>
      <c r="B711" t="s">
        <v>3674</v>
      </c>
      <c r="E711" t="s">
        <v>1358</v>
      </c>
      <c r="F711" t="s">
        <v>5449</v>
      </c>
      <c r="G711" t="s">
        <v>1359</v>
      </c>
      <c r="H711" t="s">
        <v>5450</v>
      </c>
    </row>
    <row r="712" spans="1:8" ht="14" customHeight="1" x14ac:dyDescent="0.2">
      <c r="A712" t="s">
        <v>2601</v>
      </c>
      <c r="B712" t="s">
        <v>3675</v>
      </c>
      <c r="E712" t="s">
        <v>1360</v>
      </c>
      <c r="F712" t="s">
        <v>5451</v>
      </c>
      <c r="G712" s="1" t="s">
        <v>1361</v>
      </c>
      <c r="H712" t="s">
        <v>5452</v>
      </c>
    </row>
    <row r="713" spans="1:8" ht="14" customHeight="1" x14ac:dyDescent="0.2">
      <c r="A713" t="s">
        <v>2602</v>
      </c>
      <c r="B713" t="s">
        <v>3676</v>
      </c>
      <c r="E713" t="s">
        <v>1362</v>
      </c>
      <c r="F713" t="s">
        <v>5453</v>
      </c>
      <c r="G713" t="s">
        <v>1363</v>
      </c>
      <c r="H713" t="s">
        <v>5454</v>
      </c>
    </row>
    <row r="714" spans="1:8" ht="14" customHeight="1" x14ac:dyDescent="0.2">
      <c r="A714" t="s">
        <v>2603</v>
      </c>
      <c r="B714" t="s">
        <v>3677</v>
      </c>
      <c r="E714" t="s">
        <v>1364</v>
      </c>
      <c r="G714" t="s">
        <v>1365</v>
      </c>
      <c r="H714" t="s">
        <v>5455</v>
      </c>
    </row>
    <row r="715" spans="1:8" ht="14" customHeight="1" x14ac:dyDescent="0.2">
      <c r="A715" t="s">
        <v>2604</v>
      </c>
      <c r="B715" t="s">
        <v>3678</v>
      </c>
      <c r="E715" t="s">
        <v>1366</v>
      </c>
      <c r="F715" t="s">
        <v>5456</v>
      </c>
      <c r="G715" s="1" t="s">
        <v>1367</v>
      </c>
      <c r="H715" t="s">
        <v>5457</v>
      </c>
    </row>
    <row r="716" spans="1:8" ht="14" customHeight="1" x14ac:dyDescent="0.2">
      <c r="A716" t="s">
        <v>2605</v>
      </c>
      <c r="B716" t="s">
        <v>3679</v>
      </c>
      <c r="E716" t="s">
        <v>1368</v>
      </c>
      <c r="G716" s="1" t="s">
        <v>1369</v>
      </c>
      <c r="H716" t="s">
        <v>5458</v>
      </c>
    </row>
    <row r="717" spans="1:8" ht="14" customHeight="1" x14ac:dyDescent="0.2">
      <c r="A717" t="s">
        <v>2606</v>
      </c>
      <c r="B717" t="s">
        <v>3680</v>
      </c>
      <c r="E717" t="s">
        <v>1370</v>
      </c>
      <c r="F717" t="s">
        <v>5459</v>
      </c>
      <c r="G717" t="s">
        <v>1371</v>
      </c>
      <c r="H717" t="s">
        <v>5460</v>
      </c>
    </row>
    <row r="718" spans="1:8" ht="14" customHeight="1" x14ac:dyDescent="0.2">
      <c r="A718" t="s">
        <v>2607</v>
      </c>
      <c r="B718" t="s">
        <v>3681</v>
      </c>
      <c r="E718" s="1" t="s">
        <v>1372</v>
      </c>
      <c r="F718" t="s">
        <v>5461</v>
      </c>
      <c r="G718" s="1" t="s">
        <v>1373</v>
      </c>
      <c r="H718" t="s">
        <v>5462</v>
      </c>
    </row>
    <row r="719" spans="1:8" ht="14" customHeight="1" x14ac:dyDescent="0.2">
      <c r="A719" t="s">
        <v>2608</v>
      </c>
      <c r="B719" t="s">
        <v>3476</v>
      </c>
      <c r="C719" t="s">
        <v>3126</v>
      </c>
      <c r="D719" t="s">
        <v>4111</v>
      </c>
      <c r="E719" t="s">
        <v>1374</v>
      </c>
      <c r="G719" t="s">
        <v>1375</v>
      </c>
      <c r="H719" t="s">
        <v>1375</v>
      </c>
    </row>
    <row r="720" spans="1:8" ht="14" customHeight="1" x14ac:dyDescent="0.2">
      <c r="A720" t="s">
        <v>2609</v>
      </c>
      <c r="B720" t="s">
        <v>3682</v>
      </c>
      <c r="C720" t="s">
        <v>3127</v>
      </c>
      <c r="D720" t="s">
        <v>4112</v>
      </c>
      <c r="E720" s="1" t="s">
        <v>1376</v>
      </c>
      <c r="F720" t="s">
        <v>5463</v>
      </c>
      <c r="G720" s="1" t="s">
        <v>1377</v>
      </c>
      <c r="H720" t="s">
        <v>5464</v>
      </c>
    </row>
    <row r="721" spans="1:8" ht="14" customHeight="1" x14ac:dyDescent="0.2">
      <c r="A721" t="s">
        <v>2610</v>
      </c>
      <c r="B721" t="s">
        <v>3683</v>
      </c>
      <c r="C721" t="s">
        <v>3128</v>
      </c>
      <c r="D721" t="s">
        <v>4113</v>
      </c>
      <c r="E721" t="s">
        <v>1378</v>
      </c>
      <c r="F721" t="s">
        <v>5465</v>
      </c>
      <c r="G721" t="s">
        <v>1379</v>
      </c>
      <c r="H721" t="s">
        <v>5466</v>
      </c>
    </row>
    <row r="722" spans="1:8" ht="14" customHeight="1" x14ac:dyDescent="0.2">
      <c r="A722" t="s">
        <v>2611</v>
      </c>
      <c r="B722" t="s">
        <v>3684</v>
      </c>
      <c r="C722" t="s">
        <v>3129</v>
      </c>
      <c r="D722" t="s">
        <v>4114</v>
      </c>
      <c r="E722" t="s">
        <v>1380</v>
      </c>
      <c r="F722" t="s">
        <v>5467</v>
      </c>
      <c r="G722" t="s">
        <v>1381</v>
      </c>
      <c r="H722" t="s">
        <v>5468</v>
      </c>
    </row>
    <row r="723" spans="1:8" ht="14" customHeight="1" x14ac:dyDescent="0.2">
      <c r="A723" t="s">
        <v>2612</v>
      </c>
      <c r="B723" t="s">
        <v>3685</v>
      </c>
      <c r="E723" t="s">
        <v>1382</v>
      </c>
      <c r="F723" t="s">
        <v>5469</v>
      </c>
      <c r="G723" t="s">
        <v>1383</v>
      </c>
      <c r="H723" t="s">
        <v>5470</v>
      </c>
    </row>
    <row r="724" spans="1:8" ht="14" customHeight="1" x14ac:dyDescent="0.2">
      <c r="A724" t="s">
        <v>2613</v>
      </c>
      <c r="C724" t="s">
        <v>3130</v>
      </c>
      <c r="D724" t="s">
        <v>4115</v>
      </c>
      <c r="E724" t="s">
        <v>1384</v>
      </c>
      <c r="F724" t="s">
        <v>5471</v>
      </c>
      <c r="G724" t="s">
        <v>1385</v>
      </c>
      <c r="H724" t="s">
        <v>1385</v>
      </c>
    </row>
    <row r="725" spans="1:8" ht="14" customHeight="1" x14ac:dyDescent="0.2">
      <c r="A725" t="s">
        <v>2614</v>
      </c>
      <c r="E725" t="s">
        <v>1386</v>
      </c>
      <c r="F725" t="s">
        <v>1386</v>
      </c>
      <c r="G725" t="s">
        <v>1387</v>
      </c>
      <c r="H725" t="s">
        <v>5472</v>
      </c>
    </row>
    <row r="726" spans="1:8" ht="14" customHeight="1" x14ac:dyDescent="0.2">
      <c r="A726" t="s">
        <v>2615</v>
      </c>
      <c r="B726" t="s">
        <v>3686</v>
      </c>
      <c r="E726" t="s">
        <v>1388</v>
      </c>
      <c r="F726" t="s">
        <v>5473</v>
      </c>
      <c r="G726" t="s">
        <v>1389</v>
      </c>
      <c r="H726" t="s">
        <v>5474</v>
      </c>
    </row>
    <row r="727" spans="1:8" ht="14" customHeight="1" x14ac:dyDescent="0.2">
      <c r="A727" t="s">
        <v>2616</v>
      </c>
      <c r="B727" t="s">
        <v>3687</v>
      </c>
      <c r="E727" t="s">
        <v>1390</v>
      </c>
      <c r="F727" t="s">
        <v>5475</v>
      </c>
      <c r="G727" t="s">
        <v>1391</v>
      </c>
      <c r="H727" t="s">
        <v>5476</v>
      </c>
    </row>
    <row r="728" spans="1:8" ht="14" customHeight="1" x14ac:dyDescent="0.2">
      <c r="A728" t="s">
        <v>2150</v>
      </c>
      <c r="B728" t="s">
        <v>3350</v>
      </c>
      <c r="E728" t="s">
        <v>1392</v>
      </c>
      <c r="G728" t="s">
        <v>1393</v>
      </c>
      <c r="H728" t="s">
        <v>5477</v>
      </c>
    </row>
    <row r="729" spans="1:8" ht="14" customHeight="1" x14ac:dyDescent="0.2">
      <c r="A729" t="s">
        <v>2617</v>
      </c>
      <c r="B729" t="s">
        <v>3688</v>
      </c>
      <c r="C729" t="s">
        <v>3131</v>
      </c>
      <c r="D729" t="s">
        <v>4116</v>
      </c>
      <c r="E729" s="1" t="s">
        <v>1394</v>
      </c>
      <c r="F729" t="s">
        <v>5478</v>
      </c>
      <c r="G729" s="1" t="s">
        <v>1395</v>
      </c>
      <c r="H729" t="s">
        <v>5479</v>
      </c>
    </row>
    <row r="730" spans="1:8" ht="14" customHeight="1" x14ac:dyDescent="0.2">
      <c r="A730" t="s">
        <v>2618</v>
      </c>
      <c r="B730" t="s">
        <v>3689</v>
      </c>
      <c r="E730" t="e">
        <f>- CEO who balances work and life For his employees well and has recently hired Good people to SLT - the care For parents during Covid was great
- pace of Innovation is great giving you many things to talk about with your customers
- Elastic gives health cover Benefits but No Benefits like gym, salary sacrifice</f>
        <v>#NAME?</v>
      </c>
      <c r="F730" t="s">
        <v>5480</v>
      </c>
      <c r="G730" s="1" t="s">
        <v>1396</v>
      </c>
      <c r="H730" t="s">
        <v>5481</v>
      </c>
    </row>
    <row r="731" spans="1:8" ht="14" customHeight="1" x14ac:dyDescent="0.2">
      <c r="A731" t="s">
        <v>2619</v>
      </c>
      <c r="B731" t="s">
        <v>3690</v>
      </c>
      <c r="E731" t="s">
        <v>1397</v>
      </c>
      <c r="F731" t="s">
        <v>5482</v>
      </c>
      <c r="G731" t="s">
        <v>1398</v>
      </c>
      <c r="H731" t="s">
        <v>5483</v>
      </c>
    </row>
    <row r="732" spans="1:8" ht="14" customHeight="1" x14ac:dyDescent="0.2">
      <c r="A732" t="s">
        <v>2620</v>
      </c>
      <c r="B732" t="s">
        <v>3691</v>
      </c>
      <c r="E732" t="s">
        <v>1399</v>
      </c>
      <c r="F732" t="s">
        <v>5484</v>
      </c>
      <c r="G732" t="s">
        <v>1400</v>
      </c>
      <c r="H732" t="s">
        <v>5485</v>
      </c>
    </row>
    <row r="733" spans="1:8" ht="14" customHeight="1" x14ac:dyDescent="0.2">
      <c r="A733" t="s">
        <v>2621</v>
      </c>
      <c r="B733" t="s">
        <v>3692</v>
      </c>
      <c r="E733" t="s">
        <v>1401</v>
      </c>
      <c r="F733" t="s">
        <v>5486</v>
      </c>
      <c r="G733" s="1" t="s">
        <v>1402</v>
      </c>
      <c r="H733" t="s">
        <v>5487</v>
      </c>
    </row>
    <row r="734" spans="1:8" ht="14" customHeight="1" x14ac:dyDescent="0.2">
      <c r="A734" t="s">
        <v>2622</v>
      </c>
      <c r="B734" t="s">
        <v>2622</v>
      </c>
      <c r="C734" t="e">
        <f>-Insure delivery is done on time
- reward clients who outperform
-Incentives to sales group</f>
        <v>#NAME?</v>
      </c>
      <c r="D734" t="s">
        <v>4117</v>
      </c>
      <c r="E734" t="e">
        <f>-one on one meeting with clients
-Follow up on sales and oh how to improve sales
-create new client base
-direct meet client Expectation , solve logistic issues</f>
        <v>#NAME?</v>
      </c>
      <c r="F734" t="s">
        <v>5488</v>
      </c>
      <c r="G734" t="e">
        <f>-Delay in Deliveries
- non payment / bounced check</f>
        <v>#NAME?</v>
      </c>
      <c r="H734" t="s">
        <v>5489</v>
      </c>
    </row>
    <row r="735" spans="1:8" ht="14" customHeight="1" x14ac:dyDescent="0.2">
      <c r="A735" t="s">
        <v>2623</v>
      </c>
      <c r="B735" t="s">
        <v>3693</v>
      </c>
      <c r="C735" t="s">
        <v>3132</v>
      </c>
      <c r="D735" t="s">
        <v>4118</v>
      </c>
      <c r="E735" t="s">
        <v>1403</v>
      </c>
      <c r="F735" t="s">
        <v>5490</v>
      </c>
      <c r="G735" t="s">
        <v>1404</v>
      </c>
      <c r="H735" t="s">
        <v>5491</v>
      </c>
    </row>
    <row r="736" spans="1:8" ht="14" customHeight="1" x14ac:dyDescent="0.2">
      <c r="A736" t="s">
        <v>2624</v>
      </c>
      <c r="B736" t="s">
        <v>3694</v>
      </c>
      <c r="E736" t="s">
        <v>1405</v>
      </c>
      <c r="F736" t="s">
        <v>5492</v>
      </c>
      <c r="G736" t="s">
        <v>1406</v>
      </c>
      <c r="H736" t="s">
        <v>5493</v>
      </c>
    </row>
    <row r="737" spans="1:8" ht="14" customHeight="1" x14ac:dyDescent="0.2">
      <c r="A737" t="s">
        <v>2625</v>
      </c>
      <c r="B737" t="s">
        <v>3695</v>
      </c>
      <c r="C737" t="s">
        <v>3133</v>
      </c>
      <c r="D737" t="s">
        <v>4119</v>
      </c>
      <c r="E737" t="s">
        <v>1407</v>
      </c>
      <c r="F737" t="s">
        <v>5494</v>
      </c>
      <c r="G737" t="s">
        <v>1408</v>
      </c>
      <c r="H737" t="s">
        <v>5495</v>
      </c>
    </row>
    <row r="738" spans="1:8" ht="14" customHeight="1" x14ac:dyDescent="0.2">
      <c r="A738" t="s">
        <v>2626</v>
      </c>
      <c r="C738" t="s">
        <v>3134</v>
      </c>
      <c r="D738" t="s">
        <v>3134</v>
      </c>
      <c r="E738" t="s">
        <v>1409</v>
      </c>
      <c r="F738" t="s">
        <v>5496</v>
      </c>
      <c r="G738" t="s">
        <v>1410</v>
      </c>
      <c r="H738" t="s">
        <v>5497</v>
      </c>
    </row>
    <row r="739" spans="1:8" ht="14" customHeight="1" x14ac:dyDescent="0.2">
      <c r="A739" t="s">
        <v>1947</v>
      </c>
      <c r="C739" t="s">
        <v>3135</v>
      </c>
      <c r="D739" t="s">
        <v>3135</v>
      </c>
      <c r="E739" t="s">
        <v>1411</v>
      </c>
      <c r="F739" t="s">
        <v>5498</v>
      </c>
      <c r="G739" t="s">
        <v>1412</v>
      </c>
    </row>
    <row r="740" spans="1:8" ht="14" customHeight="1" x14ac:dyDescent="0.2">
      <c r="A740" t="s">
        <v>2627</v>
      </c>
      <c r="B740" t="s">
        <v>3696</v>
      </c>
      <c r="E740" t="s">
        <v>1413</v>
      </c>
      <c r="F740" t="s">
        <v>5499</v>
      </c>
      <c r="G740" t="s">
        <v>1414</v>
      </c>
      <c r="H740" t="s">
        <v>5500</v>
      </c>
    </row>
    <row r="741" spans="1:8" ht="14" customHeight="1" x14ac:dyDescent="0.2">
      <c r="A741" t="s">
        <v>2628</v>
      </c>
      <c r="B741" t="s">
        <v>3497</v>
      </c>
      <c r="E741" t="s">
        <v>1415</v>
      </c>
      <c r="F741" t="s">
        <v>5501</v>
      </c>
      <c r="G741" t="s">
        <v>1416</v>
      </c>
      <c r="H741" t="s">
        <v>5502</v>
      </c>
    </row>
    <row r="742" spans="1:8" ht="14" customHeight="1" x14ac:dyDescent="0.2">
      <c r="A742" t="s">
        <v>2629</v>
      </c>
      <c r="B742" t="s">
        <v>3697</v>
      </c>
      <c r="E742" t="e">
        <f>- Genuinely customer-focused legal team
- direct team had a great culture and goals
- Tabcorp was genuine in harm-reduction and making sure they do the right thing
- CEO is well regarded amongst the team
- above average remuneration</f>
        <v>#NAME?</v>
      </c>
      <c r="F742" t="s">
        <v>5503</v>
      </c>
      <c r="G742" t="e">
        <f>- Poor leadership within legal with our team leaders not being given the support they required from the group General Counsel.
- GGC was erratic and was more of a lone wolf method than giving support to our team
- Tabcorp leadership was not supportive during Covid, and rather than support the team during Covid, made it our problem, with the company finances being first.
- lack of career development, with outside talent being preferred
- outdated Systems and process, which resulted in burn-out and lack of work-life balance
- work was very focused on putting out fires</f>
        <v>#NAME?</v>
      </c>
      <c r="H742" t="s">
        <v>5504</v>
      </c>
    </row>
    <row r="743" spans="1:8" ht="14" customHeight="1" x14ac:dyDescent="0.2">
      <c r="A743" t="s">
        <v>2630</v>
      </c>
      <c r="B743" t="s">
        <v>3698</v>
      </c>
      <c r="E743" t="s">
        <v>1417</v>
      </c>
      <c r="F743" t="s">
        <v>5505</v>
      </c>
      <c r="G743" t="s">
        <v>1418</v>
      </c>
      <c r="H743" t="s">
        <v>5506</v>
      </c>
    </row>
    <row r="744" spans="1:8" ht="14" customHeight="1" x14ac:dyDescent="0.2">
      <c r="A744" t="s">
        <v>2377</v>
      </c>
      <c r="E744" t="s">
        <v>1419</v>
      </c>
      <c r="F744" t="s">
        <v>5507</v>
      </c>
      <c r="G744" t="s">
        <v>1420</v>
      </c>
      <c r="H744" t="s">
        <v>5508</v>
      </c>
    </row>
    <row r="745" spans="1:8" ht="14" customHeight="1" x14ac:dyDescent="0.2">
      <c r="A745" t="s">
        <v>2631</v>
      </c>
      <c r="B745" t="s">
        <v>3699</v>
      </c>
      <c r="C745" t="e">
        <f>- work on salary hikes.
- reward employees For their contribution.</f>
        <v>#NAME?</v>
      </c>
      <c r="D745" t="s">
        <v>4120</v>
      </c>
      <c r="E745" s="1" t="s">
        <v>1421</v>
      </c>
      <c r="F745" t="s">
        <v>5509</v>
      </c>
      <c r="G745" s="1" t="s">
        <v>1422</v>
      </c>
      <c r="H745" t="s">
        <v>5510</v>
      </c>
    </row>
    <row r="746" spans="1:8" ht="14" customHeight="1" x14ac:dyDescent="0.2">
      <c r="A746" t="s">
        <v>2632</v>
      </c>
      <c r="B746" t="s">
        <v>3700</v>
      </c>
      <c r="E746" t="s">
        <v>1423</v>
      </c>
      <c r="F746" t="s">
        <v>5511</v>
      </c>
      <c r="G746" s="1" t="s">
        <v>1424</v>
      </c>
      <c r="H746" t="s">
        <v>5512</v>
      </c>
    </row>
    <row r="747" spans="1:8" ht="14" customHeight="1" x14ac:dyDescent="0.2">
      <c r="A747" t="s">
        <v>2633</v>
      </c>
      <c r="B747" t="s">
        <v>3416</v>
      </c>
      <c r="E747" s="1" t="s">
        <v>1425</v>
      </c>
      <c r="F747" t="s">
        <v>5513</v>
      </c>
      <c r="G747" s="1" t="s">
        <v>1426</v>
      </c>
      <c r="H747" t="s">
        <v>5514</v>
      </c>
    </row>
    <row r="748" spans="1:8" ht="14" customHeight="1" x14ac:dyDescent="0.2">
      <c r="A748" t="s">
        <v>2634</v>
      </c>
      <c r="B748" t="s">
        <v>3701</v>
      </c>
      <c r="C748" t="s">
        <v>3136</v>
      </c>
      <c r="E748" s="1" t="s">
        <v>1427</v>
      </c>
      <c r="F748" t="s">
        <v>5515</v>
      </c>
      <c r="G748" s="1" t="s">
        <v>1428</v>
      </c>
      <c r="H748" t="s">
        <v>5516</v>
      </c>
    </row>
    <row r="749" spans="1:8" ht="14" customHeight="1" x14ac:dyDescent="0.2">
      <c r="A749" t="s">
        <v>2635</v>
      </c>
      <c r="B749" t="s">
        <v>3702</v>
      </c>
      <c r="C749" t="s">
        <v>3137</v>
      </c>
      <c r="E749" t="s">
        <v>1429</v>
      </c>
      <c r="F749" t="s">
        <v>5517</v>
      </c>
      <c r="G749" t="s">
        <v>1430</v>
      </c>
      <c r="H749" t="s">
        <v>3702</v>
      </c>
    </row>
    <row r="750" spans="1:8" ht="14" customHeight="1" x14ac:dyDescent="0.2">
      <c r="A750" t="s">
        <v>2636</v>
      </c>
      <c r="B750" t="s">
        <v>3703</v>
      </c>
      <c r="C750" t="s">
        <v>3138</v>
      </c>
      <c r="D750" t="s">
        <v>4121</v>
      </c>
      <c r="E750" t="s">
        <v>1431</v>
      </c>
      <c r="F750" t="s">
        <v>5518</v>
      </c>
      <c r="G750" t="s">
        <v>1432</v>
      </c>
      <c r="H750" t="s">
        <v>5519</v>
      </c>
    </row>
    <row r="751" spans="1:8" ht="14" customHeight="1" x14ac:dyDescent="0.2">
      <c r="A751" t="s">
        <v>2637</v>
      </c>
      <c r="E751" t="s">
        <v>1433</v>
      </c>
      <c r="F751" t="s">
        <v>1433</v>
      </c>
      <c r="G751" t="s">
        <v>1434</v>
      </c>
      <c r="H751" t="s">
        <v>1434</v>
      </c>
    </row>
    <row r="752" spans="1:8" ht="14" customHeight="1" x14ac:dyDescent="0.2">
      <c r="A752" t="s">
        <v>2638</v>
      </c>
      <c r="B752" t="s">
        <v>3704</v>
      </c>
      <c r="E752" s="1" t="s">
        <v>1435</v>
      </c>
      <c r="F752" t="s">
        <v>5520</v>
      </c>
      <c r="G752" s="1" t="s">
        <v>1436</v>
      </c>
      <c r="H752" t="s">
        <v>5521</v>
      </c>
    </row>
    <row r="753" spans="1:8" ht="14" customHeight="1" x14ac:dyDescent="0.2">
      <c r="A753" t="s">
        <v>2639</v>
      </c>
      <c r="B753" t="s">
        <v>3705</v>
      </c>
      <c r="E753" t="s">
        <v>1437</v>
      </c>
      <c r="G753" s="1" t="s">
        <v>1438</v>
      </c>
      <c r="H753" t="s">
        <v>5522</v>
      </c>
    </row>
    <row r="754" spans="1:8" ht="14" customHeight="1" x14ac:dyDescent="0.2">
      <c r="A754" t="s">
        <v>2640</v>
      </c>
      <c r="B754" t="s">
        <v>3706</v>
      </c>
      <c r="C754" t="s">
        <v>3139</v>
      </c>
      <c r="D754" t="s">
        <v>4122</v>
      </c>
      <c r="E754" t="s">
        <v>1439</v>
      </c>
      <c r="F754" t="s">
        <v>5523</v>
      </c>
      <c r="G754" t="s">
        <v>1440</v>
      </c>
      <c r="H754" t="s">
        <v>5524</v>
      </c>
    </row>
    <row r="755" spans="1:8" ht="14" customHeight="1" x14ac:dyDescent="0.2">
      <c r="A755" t="s">
        <v>2641</v>
      </c>
      <c r="B755" t="s">
        <v>2522</v>
      </c>
      <c r="E755" t="s">
        <v>1441</v>
      </c>
      <c r="F755" t="s">
        <v>5525</v>
      </c>
      <c r="G755" t="s">
        <v>1442</v>
      </c>
      <c r="H755" t="s">
        <v>5526</v>
      </c>
    </row>
    <row r="756" spans="1:8" ht="14" customHeight="1" x14ac:dyDescent="0.2">
      <c r="E756" s="1" t="s">
        <v>1443</v>
      </c>
      <c r="F756" t="s">
        <v>5527</v>
      </c>
      <c r="G756" s="1" t="s">
        <v>1444</v>
      </c>
      <c r="H756" t="s">
        <v>5528</v>
      </c>
    </row>
    <row r="757" spans="1:8" ht="14" customHeight="1" x14ac:dyDescent="0.2">
      <c r="A757" t="s">
        <v>2571</v>
      </c>
      <c r="B757" t="s">
        <v>2571</v>
      </c>
      <c r="C757" t="s">
        <v>3140</v>
      </c>
      <c r="D757" t="s">
        <v>4123</v>
      </c>
      <c r="E757" t="s">
        <v>1445</v>
      </c>
      <c r="F757" t="s">
        <v>3651</v>
      </c>
      <c r="G757" t="s">
        <v>1446</v>
      </c>
      <c r="H757" t="s">
        <v>5529</v>
      </c>
    </row>
    <row r="758" spans="1:8" ht="14" customHeight="1" x14ac:dyDescent="0.2">
      <c r="A758" t="s">
        <v>2642</v>
      </c>
      <c r="C758" t="s">
        <v>3141</v>
      </c>
      <c r="D758" t="s">
        <v>4124</v>
      </c>
      <c r="E758" t="s">
        <v>1447</v>
      </c>
      <c r="F758" t="s">
        <v>5530</v>
      </c>
      <c r="G758" t="s">
        <v>1448</v>
      </c>
      <c r="H758" t="s">
        <v>5531</v>
      </c>
    </row>
    <row r="759" spans="1:8" ht="14" customHeight="1" x14ac:dyDescent="0.2">
      <c r="A759" t="s">
        <v>2643</v>
      </c>
      <c r="B759" t="s">
        <v>3348</v>
      </c>
      <c r="C759" t="s">
        <v>3142</v>
      </c>
      <c r="D759" t="s">
        <v>4125</v>
      </c>
      <c r="E759" t="s">
        <v>1449</v>
      </c>
      <c r="F759" t="s">
        <v>5532</v>
      </c>
      <c r="G759" t="s">
        <v>1450</v>
      </c>
      <c r="H759" t="s">
        <v>1450</v>
      </c>
    </row>
    <row r="760" spans="1:8" ht="14" customHeight="1" x14ac:dyDescent="0.2">
      <c r="A760" t="s">
        <v>2644</v>
      </c>
      <c r="B760" t="s">
        <v>3707</v>
      </c>
      <c r="C760" t="s">
        <v>3143</v>
      </c>
      <c r="D760" t="s">
        <v>4126</v>
      </c>
      <c r="E760" t="s">
        <v>1451</v>
      </c>
      <c r="F760" t="s">
        <v>5533</v>
      </c>
      <c r="G760" t="s">
        <v>1452</v>
      </c>
      <c r="H760" t="s">
        <v>5534</v>
      </c>
    </row>
    <row r="761" spans="1:8" ht="14" customHeight="1" x14ac:dyDescent="0.2">
      <c r="A761" t="s">
        <v>2645</v>
      </c>
      <c r="B761" t="s">
        <v>2645</v>
      </c>
      <c r="E761" t="s">
        <v>1453</v>
      </c>
      <c r="F761" t="s">
        <v>5535</v>
      </c>
      <c r="G761" t="s">
        <v>1454</v>
      </c>
      <c r="H761" t="s">
        <v>5536</v>
      </c>
    </row>
    <row r="762" spans="1:8" ht="14" customHeight="1" x14ac:dyDescent="0.2">
      <c r="A762" t="s">
        <v>2646</v>
      </c>
      <c r="B762" t="s">
        <v>3708</v>
      </c>
      <c r="C762" t="s">
        <v>3144</v>
      </c>
      <c r="D762" t="s">
        <v>4127</v>
      </c>
      <c r="E762" t="s">
        <v>1455</v>
      </c>
      <c r="F762" t="s">
        <v>5537</v>
      </c>
      <c r="G762" t="s">
        <v>1456</v>
      </c>
      <c r="H762" t="s">
        <v>5538</v>
      </c>
    </row>
    <row r="763" spans="1:8" ht="14" customHeight="1" x14ac:dyDescent="0.2">
      <c r="A763" t="s">
        <v>2647</v>
      </c>
      <c r="B763" t="s">
        <v>2647</v>
      </c>
      <c r="C763" t="s">
        <v>3145</v>
      </c>
      <c r="D763" t="s">
        <v>4128</v>
      </c>
      <c r="E763" t="e">
        <f>-Good working environment
-Good opportunity For growing your proffesional career
-Good salary</f>
        <v>#NAME?</v>
      </c>
      <c r="F763" t="s">
        <v>5539</v>
      </c>
      <c r="G763" s="1" t="s">
        <v>1457</v>
      </c>
      <c r="H763" t="s">
        <v>5540</v>
      </c>
    </row>
    <row r="764" spans="1:8" ht="14" customHeight="1" x14ac:dyDescent="0.2">
      <c r="A764" t="s">
        <v>2648</v>
      </c>
      <c r="B764" t="s">
        <v>2118</v>
      </c>
      <c r="C764" t="s">
        <v>3146</v>
      </c>
      <c r="D764" t="s">
        <v>4129</v>
      </c>
      <c r="E764" t="s">
        <v>1458</v>
      </c>
      <c r="F764" t="s">
        <v>5541</v>
      </c>
      <c r="G764" t="s">
        <v>1459</v>
      </c>
      <c r="H764" t="s">
        <v>5542</v>
      </c>
    </row>
    <row r="765" spans="1:8" ht="14" customHeight="1" x14ac:dyDescent="0.2">
      <c r="A765" t="s">
        <v>2649</v>
      </c>
      <c r="B765" t="s">
        <v>3709</v>
      </c>
      <c r="C765" t="s">
        <v>3147</v>
      </c>
      <c r="D765" t="s">
        <v>4130</v>
      </c>
      <c r="E765" t="s">
        <v>1460</v>
      </c>
      <c r="F765" t="s">
        <v>5543</v>
      </c>
      <c r="G765" t="s">
        <v>1461</v>
      </c>
      <c r="H765" t="s">
        <v>5544</v>
      </c>
    </row>
    <row r="766" spans="1:8" ht="14" customHeight="1" x14ac:dyDescent="0.2">
      <c r="A766" t="s">
        <v>2650</v>
      </c>
      <c r="B766" t="s">
        <v>2650</v>
      </c>
      <c r="C766" t="s">
        <v>3148</v>
      </c>
      <c r="D766" t="s">
        <v>4131</v>
      </c>
      <c r="E766" t="e">
        <f>- Part timers are also offered Benefits
- Fair in how to get vacation time, swapping out yearly so everyone can get holidays off</f>
        <v>#NAME?</v>
      </c>
      <c r="F766" t="s">
        <v>5545</v>
      </c>
      <c r="G766" s="1" t="s">
        <v>1462</v>
      </c>
      <c r="H766" t="s">
        <v>5546</v>
      </c>
    </row>
    <row r="767" spans="1:8" ht="14" customHeight="1" x14ac:dyDescent="0.2">
      <c r="A767" t="s">
        <v>2651</v>
      </c>
      <c r="C767" t="s">
        <v>3149</v>
      </c>
      <c r="D767" t="s">
        <v>4132</v>
      </c>
      <c r="E767" t="s">
        <v>1463</v>
      </c>
      <c r="F767" t="s">
        <v>5547</v>
      </c>
      <c r="G767" t="s">
        <v>1464</v>
      </c>
      <c r="H767" t="s">
        <v>5548</v>
      </c>
    </row>
    <row r="768" spans="1:8" ht="14" customHeight="1" x14ac:dyDescent="0.2">
      <c r="A768" t="s">
        <v>2652</v>
      </c>
      <c r="B768" t="s">
        <v>3710</v>
      </c>
      <c r="C768" t="s">
        <v>3150</v>
      </c>
      <c r="D768" t="s">
        <v>3150</v>
      </c>
      <c r="E768" t="s">
        <v>1465</v>
      </c>
      <c r="G768" t="s">
        <v>1466</v>
      </c>
      <c r="H768" t="s">
        <v>5549</v>
      </c>
    </row>
    <row r="769" spans="1:8" ht="14" customHeight="1" x14ac:dyDescent="0.2">
      <c r="A769" t="s">
        <v>2148</v>
      </c>
      <c r="B769" t="s">
        <v>3348</v>
      </c>
      <c r="C769" t="s">
        <v>3151</v>
      </c>
      <c r="D769" t="s">
        <v>4133</v>
      </c>
      <c r="E769" t="s">
        <v>1467</v>
      </c>
      <c r="F769" t="s">
        <v>5550</v>
      </c>
      <c r="G769" t="s">
        <v>1468</v>
      </c>
      <c r="H769" t="s">
        <v>1468</v>
      </c>
    </row>
    <row r="770" spans="1:8" ht="14" customHeight="1" x14ac:dyDescent="0.2">
      <c r="A770" t="s">
        <v>2653</v>
      </c>
      <c r="B770" t="s">
        <v>3711</v>
      </c>
      <c r="C770" t="s">
        <v>3152</v>
      </c>
      <c r="D770" t="s">
        <v>4134</v>
      </c>
      <c r="E770" t="s">
        <v>1469</v>
      </c>
      <c r="F770" t="s">
        <v>5551</v>
      </c>
      <c r="G770" t="s">
        <v>1470</v>
      </c>
      <c r="H770" t="s">
        <v>5552</v>
      </c>
    </row>
    <row r="771" spans="1:8" ht="14" customHeight="1" x14ac:dyDescent="0.2">
      <c r="A771" t="s">
        <v>2654</v>
      </c>
      <c r="B771" t="s">
        <v>3712</v>
      </c>
      <c r="C771" t="s">
        <v>3153</v>
      </c>
      <c r="E771" s="1" t="s">
        <v>1471</v>
      </c>
      <c r="G771" t="s">
        <v>1472</v>
      </c>
      <c r="H771" t="s">
        <v>5991</v>
      </c>
    </row>
    <row r="772" spans="1:8" ht="14" customHeight="1" x14ac:dyDescent="0.2">
      <c r="A772" t="s">
        <v>2655</v>
      </c>
      <c r="B772" t="s">
        <v>3713</v>
      </c>
      <c r="C772" t="s">
        <v>3154</v>
      </c>
      <c r="D772" t="s">
        <v>4135</v>
      </c>
      <c r="E772" t="s">
        <v>1473</v>
      </c>
      <c r="F772" t="s">
        <v>5553</v>
      </c>
      <c r="G772" t="s">
        <v>1474</v>
      </c>
      <c r="H772" t="s">
        <v>5554</v>
      </c>
    </row>
    <row r="773" spans="1:8" ht="14" customHeight="1" x14ac:dyDescent="0.2">
      <c r="A773" t="s">
        <v>2656</v>
      </c>
      <c r="B773" t="s">
        <v>3714</v>
      </c>
      <c r="C773" t="s">
        <v>3155</v>
      </c>
      <c r="D773" t="s">
        <v>4136</v>
      </c>
      <c r="E773" t="s">
        <v>1475</v>
      </c>
      <c r="F773" t="s">
        <v>5555</v>
      </c>
      <c r="G773" t="s">
        <v>1476</v>
      </c>
      <c r="H773" t="s">
        <v>5556</v>
      </c>
    </row>
    <row r="774" spans="1:8" ht="14" customHeight="1" x14ac:dyDescent="0.2">
      <c r="A774" t="s">
        <v>2090</v>
      </c>
      <c r="B774" t="s">
        <v>2090</v>
      </c>
      <c r="E774" t="s">
        <v>1477</v>
      </c>
      <c r="G774" t="s">
        <v>1478</v>
      </c>
      <c r="H774" t="s">
        <v>5557</v>
      </c>
    </row>
    <row r="775" spans="1:8" ht="14" customHeight="1" x14ac:dyDescent="0.2">
      <c r="A775" t="s">
        <v>2657</v>
      </c>
      <c r="B775" t="s">
        <v>3715</v>
      </c>
      <c r="E775" t="s">
        <v>1479</v>
      </c>
      <c r="F775" t="s">
        <v>5558</v>
      </c>
      <c r="G775" t="s">
        <v>1480</v>
      </c>
      <c r="H775" t="s">
        <v>5559</v>
      </c>
    </row>
    <row r="776" spans="1:8" ht="14" customHeight="1" x14ac:dyDescent="0.2">
      <c r="A776" t="s">
        <v>2658</v>
      </c>
      <c r="B776" t="s">
        <v>3716</v>
      </c>
      <c r="E776" t="s">
        <v>1481</v>
      </c>
      <c r="F776" t="s">
        <v>5560</v>
      </c>
      <c r="G776" s="1" t="s">
        <v>1482</v>
      </c>
      <c r="H776" t="s">
        <v>5561</v>
      </c>
    </row>
    <row r="777" spans="1:8" ht="14" customHeight="1" x14ac:dyDescent="0.2">
      <c r="A777" t="s">
        <v>2659</v>
      </c>
      <c r="E777" t="s">
        <v>1483</v>
      </c>
      <c r="F777" t="s">
        <v>5562</v>
      </c>
      <c r="G777" t="s">
        <v>1484</v>
      </c>
      <c r="H777" t="s">
        <v>5226</v>
      </c>
    </row>
    <row r="778" spans="1:8" ht="14" customHeight="1" x14ac:dyDescent="0.2">
      <c r="A778" t="s">
        <v>2660</v>
      </c>
      <c r="B778" t="s">
        <v>3717</v>
      </c>
      <c r="E778" t="s">
        <v>1485</v>
      </c>
      <c r="F778" t="s">
        <v>5563</v>
      </c>
      <c r="G778" t="s">
        <v>1486</v>
      </c>
      <c r="H778" t="s">
        <v>5564</v>
      </c>
    </row>
    <row r="779" spans="1:8" ht="14" customHeight="1" x14ac:dyDescent="0.2">
      <c r="A779" t="s">
        <v>2661</v>
      </c>
      <c r="B779" t="s">
        <v>3369</v>
      </c>
      <c r="E779" t="s">
        <v>1487</v>
      </c>
      <c r="F779" t="s">
        <v>5565</v>
      </c>
      <c r="G779" t="s">
        <v>1488</v>
      </c>
      <c r="H779" t="s">
        <v>5566</v>
      </c>
    </row>
    <row r="780" spans="1:8" ht="14" customHeight="1" x14ac:dyDescent="0.2">
      <c r="A780" t="s">
        <v>2662</v>
      </c>
      <c r="B780" t="s">
        <v>3718</v>
      </c>
      <c r="E780" t="s">
        <v>1489</v>
      </c>
      <c r="F780" t="s">
        <v>5567</v>
      </c>
      <c r="G780" t="s">
        <v>1490</v>
      </c>
      <c r="H780" t="s">
        <v>5568</v>
      </c>
    </row>
    <row r="781" spans="1:8" ht="14" customHeight="1" x14ac:dyDescent="0.2">
      <c r="A781" t="s">
        <v>2663</v>
      </c>
      <c r="B781" t="s">
        <v>3719</v>
      </c>
      <c r="C781" t="s">
        <v>3156</v>
      </c>
      <c r="D781" t="s">
        <v>3156</v>
      </c>
      <c r="E781" t="s">
        <v>1491</v>
      </c>
      <c r="F781" t="s">
        <v>5569</v>
      </c>
      <c r="G781" t="s">
        <v>1492</v>
      </c>
      <c r="H781" t="s">
        <v>5570</v>
      </c>
    </row>
    <row r="782" spans="1:8" ht="14" customHeight="1" x14ac:dyDescent="0.2">
      <c r="A782" t="s">
        <v>2664</v>
      </c>
      <c r="B782" t="s">
        <v>3720</v>
      </c>
      <c r="C782" t="s">
        <v>3157</v>
      </c>
      <c r="D782" t="s">
        <v>4137</v>
      </c>
      <c r="E782" t="s">
        <v>1493</v>
      </c>
      <c r="F782" t="s">
        <v>5571</v>
      </c>
      <c r="G782" t="s">
        <v>1494</v>
      </c>
      <c r="H782" t="s">
        <v>5572</v>
      </c>
    </row>
    <row r="783" spans="1:8" ht="14" customHeight="1" x14ac:dyDescent="0.2">
      <c r="A783" t="s">
        <v>2206</v>
      </c>
      <c r="C783" t="s">
        <v>3158</v>
      </c>
      <c r="D783" t="s">
        <v>4138</v>
      </c>
      <c r="E783" t="s">
        <v>1495</v>
      </c>
      <c r="F783" t="s">
        <v>5573</v>
      </c>
      <c r="G783" t="s">
        <v>1496</v>
      </c>
      <c r="H783" t="s">
        <v>5574</v>
      </c>
    </row>
    <row r="784" spans="1:8" ht="14" customHeight="1" x14ac:dyDescent="0.2">
      <c r="A784" t="s">
        <v>2112</v>
      </c>
      <c r="C784" t="s">
        <v>3159</v>
      </c>
      <c r="D784" t="s">
        <v>4139</v>
      </c>
      <c r="E784" t="s">
        <v>1497</v>
      </c>
      <c r="F784" t="s">
        <v>5575</v>
      </c>
      <c r="G784" t="s">
        <v>1498</v>
      </c>
      <c r="H784" t="s">
        <v>5576</v>
      </c>
    </row>
    <row r="785" spans="1:8" ht="14" customHeight="1" x14ac:dyDescent="0.2">
      <c r="A785" t="s">
        <v>2665</v>
      </c>
      <c r="B785" t="s">
        <v>3721</v>
      </c>
      <c r="C785" t="s">
        <v>3160</v>
      </c>
      <c r="D785" t="s">
        <v>4140</v>
      </c>
      <c r="E785" t="s">
        <v>1499</v>
      </c>
      <c r="F785" t="s">
        <v>5577</v>
      </c>
      <c r="G785" t="s">
        <v>1500</v>
      </c>
      <c r="H785" t="s">
        <v>5578</v>
      </c>
    </row>
    <row r="786" spans="1:8" ht="14" customHeight="1" x14ac:dyDescent="0.2">
      <c r="A786" t="s">
        <v>2666</v>
      </c>
      <c r="B786" t="s">
        <v>3722</v>
      </c>
      <c r="E786" t="s">
        <v>1501</v>
      </c>
      <c r="F786" t="s">
        <v>5579</v>
      </c>
      <c r="G786" t="s">
        <v>1502</v>
      </c>
      <c r="H786" t="s">
        <v>5580</v>
      </c>
    </row>
    <row r="787" spans="1:8" ht="14" customHeight="1" x14ac:dyDescent="0.2">
      <c r="A787" t="s">
        <v>2667</v>
      </c>
      <c r="B787" t="s">
        <v>3723</v>
      </c>
      <c r="E787" s="1" t="s">
        <v>1503</v>
      </c>
      <c r="F787" t="s">
        <v>5581</v>
      </c>
      <c r="G787" s="1" t="s">
        <v>1504</v>
      </c>
      <c r="H787" t="s">
        <v>5582</v>
      </c>
    </row>
    <row r="788" spans="1:8" ht="14" customHeight="1" x14ac:dyDescent="0.2">
      <c r="A788" t="s">
        <v>2668</v>
      </c>
      <c r="B788" t="s">
        <v>3724</v>
      </c>
      <c r="E788" t="s">
        <v>1505</v>
      </c>
      <c r="G788" t="s">
        <v>1506</v>
      </c>
      <c r="H788" t="s">
        <v>5583</v>
      </c>
    </row>
    <row r="789" spans="1:8" ht="14" customHeight="1" x14ac:dyDescent="0.2">
      <c r="A789" t="s">
        <v>2669</v>
      </c>
      <c r="B789" t="s">
        <v>3725</v>
      </c>
      <c r="E789" t="s">
        <v>1507</v>
      </c>
      <c r="F789" t="s">
        <v>5584</v>
      </c>
      <c r="G789" t="s">
        <v>1508</v>
      </c>
      <c r="H789" t="s">
        <v>5585</v>
      </c>
    </row>
    <row r="790" spans="1:8" ht="14" customHeight="1" x14ac:dyDescent="0.2">
      <c r="A790" t="s">
        <v>2670</v>
      </c>
      <c r="B790" t="s">
        <v>3726</v>
      </c>
      <c r="E790" t="s">
        <v>1509</v>
      </c>
      <c r="F790" t="s">
        <v>5586</v>
      </c>
      <c r="G790" t="s">
        <v>1510</v>
      </c>
      <c r="H790" t="s">
        <v>5587</v>
      </c>
    </row>
    <row r="791" spans="1:8" ht="14" customHeight="1" x14ac:dyDescent="0.2">
      <c r="A791" t="s">
        <v>2671</v>
      </c>
      <c r="B791" t="s">
        <v>3727</v>
      </c>
      <c r="E791" t="s">
        <v>1511</v>
      </c>
      <c r="F791" t="s">
        <v>5588</v>
      </c>
      <c r="G791" t="s">
        <v>1512</v>
      </c>
      <c r="H791" t="s">
        <v>5589</v>
      </c>
    </row>
    <row r="792" spans="1:8" ht="14" customHeight="1" x14ac:dyDescent="0.2">
      <c r="A792" t="s">
        <v>2672</v>
      </c>
      <c r="B792" t="s">
        <v>2672</v>
      </c>
      <c r="E792" s="1" t="s">
        <v>1513</v>
      </c>
      <c r="F792" t="s">
        <v>5590</v>
      </c>
      <c r="G792" s="1" t="s">
        <v>1514</v>
      </c>
      <c r="H792" t="s">
        <v>5591</v>
      </c>
    </row>
    <row r="793" spans="1:8" ht="14" customHeight="1" x14ac:dyDescent="0.2">
      <c r="A793" t="s">
        <v>2673</v>
      </c>
      <c r="B793" t="s">
        <v>3728</v>
      </c>
      <c r="E793" s="1" t="s">
        <v>1515</v>
      </c>
      <c r="F793" t="s">
        <v>5592</v>
      </c>
      <c r="G793" s="1" t="s">
        <v>1516</v>
      </c>
      <c r="H793" t="s">
        <v>5593</v>
      </c>
    </row>
    <row r="794" spans="1:8" ht="14" customHeight="1" x14ac:dyDescent="0.2">
      <c r="A794" t="s">
        <v>2674</v>
      </c>
      <c r="B794" t="s">
        <v>3729</v>
      </c>
      <c r="E794" t="s">
        <v>1517</v>
      </c>
      <c r="F794" t="s">
        <v>5594</v>
      </c>
      <c r="G794" t="s">
        <v>1518</v>
      </c>
      <c r="H794" t="s">
        <v>5595</v>
      </c>
    </row>
    <row r="795" spans="1:8" ht="14" customHeight="1" x14ac:dyDescent="0.2">
      <c r="A795" t="s">
        <v>2675</v>
      </c>
      <c r="E795" t="s">
        <v>1519</v>
      </c>
      <c r="F795" t="s">
        <v>5596</v>
      </c>
      <c r="G795" t="s">
        <v>1520</v>
      </c>
      <c r="H795" t="s">
        <v>5597</v>
      </c>
    </row>
    <row r="796" spans="1:8" ht="14" customHeight="1" x14ac:dyDescent="0.2">
      <c r="A796" t="s">
        <v>2676</v>
      </c>
      <c r="B796" t="s">
        <v>3730</v>
      </c>
      <c r="E796" t="s">
        <v>1521</v>
      </c>
      <c r="F796" t="s">
        <v>5598</v>
      </c>
      <c r="G796" s="1" t="s">
        <v>1522</v>
      </c>
      <c r="H796" t="s">
        <v>5599</v>
      </c>
    </row>
    <row r="797" spans="1:8" ht="14" customHeight="1" x14ac:dyDescent="0.2">
      <c r="A797" t="s">
        <v>2677</v>
      </c>
      <c r="B797" t="s">
        <v>3731</v>
      </c>
      <c r="E797" t="s">
        <v>1523</v>
      </c>
      <c r="F797" t="s">
        <v>5600</v>
      </c>
      <c r="G797" s="1" t="s">
        <v>1524</v>
      </c>
      <c r="H797" t="s">
        <v>5601</v>
      </c>
    </row>
    <row r="798" spans="1:8" ht="14" customHeight="1" x14ac:dyDescent="0.2">
      <c r="A798" t="s">
        <v>2678</v>
      </c>
      <c r="B798" t="s">
        <v>3732</v>
      </c>
      <c r="E798" t="s">
        <v>1525</v>
      </c>
      <c r="F798" t="s">
        <v>5602</v>
      </c>
      <c r="G798" t="s">
        <v>1526</v>
      </c>
      <c r="H798" t="s">
        <v>5603</v>
      </c>
    </row>
    <row r="799" spans="1:8" ht="14" customHeight="1" x14ac:dyDescent="0.2">
      <c r="A799" t="s">
        <v>2627</v>
      </c>
      <c r="B799" t="s">
        <v>3696</v>
      </c>
      <c r="E799" t="s">
        <v>1527</v>
      </c>
      <c r="F799" t="s">
        <v>5068</v>
      </c>
      <c r="G799" t="s">
        <v>1528</v>
      </c>
      <c r="H799" t="s">
        <v>5604</v>
      </c>
    </row>
    <row r="800" spans="1:8" ht="14" customHeight="1" x14ac:dyDescent="0.2">
      <c r="A800" t="s">
        <v>2679</v>
      </c>
      <c r="B800" t="s">
        <v>3733</v>
      </c>
      <c r="E800" t="s">
        <v>1529</v>
      </c>
      <c r="F800" t="s">
        <v>5605</v>
      </c>
      <c r="G800" t="s">
        <v>1530</v>
      </c>
      <c r="H800" t="s">
        <v>5606</v>
      </c>
    </row>
    <row r="801" spans="1:8" ht="14" customHeight="1" x14ac:dyDescent="0.2">
      <c r="A801" t="s">
        <v>2680</v>
      </c>
      <c r="B801" t="s">
        <v>3734</v>
      </c>
      <c r="C801" s="1" t="s">
        <v>3161</v>
      </c>
      <c r="D801" t="s">
        <v>4141</v>
      </c>
      <c r="E801" s="1" t="s">
        <v>1531</v>
      </c>
      <c r="F801" t="s">
        <v>5607</v>
      </c>
      <c r="G801" s="1" t="s">
        <v>1532</v>
      </c>
      <c r="H801" t="s">
        <v>5608</v>
      </c>
    </row>
    <row r="802" spans="1:8" ht="14" customHeight="1" x14ac:dyDescent="0.2">
      <c r="A802" t="s">
        <v>2681</v>
      </c>
      <c r="B802" t="s">
        <v>3735</v>
      </c>
      <c r="E802" t="s">
        <v>1533</v>
      </c>
      <c r="G802" s="1" t="s">
        <v>1534</v>
      </c>
      <c r="H802" t="s">
        <v>5609</v>
      </c>
    </row>
    <row r="803" spans="1:8" ht="14" customHeight="1" x14ac:dyDescent="0.2">
      <c r="A803" t="s">
        <v>2682</v>
      </c>
      <c r="B803" t="s">
        <v>2682</v>
      </c>
      <c r="C803" t="s">
        <v>2881</v>
      </c>
      <c r="E803" t="s">
        <v>1535</v>
      </c>
      <c r="F803" t="s">
        <v>5610</v>
      </c>
      <c r="G803" t="s">
        <v>1536</v>
      </c>
    </row>
    <row r="804" spans="1:8" ht="14" customHeight="1" x14ac:dyDescent="0.2">
      <c r="A804" t="s">
        <v>2683</v>
      </c>
      <c r="B804" t="s">
        <v>3736</v>
      </c>
      <c r="C804" t="s">
        <v>3162</v>
      </c>
      <c r="D804" t="s">
        <v>4142</v>
      </c>
      <c r="E804" t="s">
        <v>1537</v>
      </c>
      <c r="F804" t="s">
        <v>5611</v>
      </c>
      <c r="G804" t="s">
        <v>1538</v>
      </c>
      <c r="H804" t="s">
        <v>5612</v>
      </c>
    </row>
    <row r="805" spans="1:8" ht="14" customHeight="1" x14ac:dyDescent="0.2">
      <c r="A805" t="s">
        <v>2684</v>
      </c>
      <c r="B805" t="s">
        <v>3737</v>
      </c>
      <c r="C805" t="s">
        <v>3163</v>
      </c>
      <c r="D805" t="s">
        <v>4143</v>
      </c>
      <c r="E805" t="s">
        <v>1539</v>
      </c>
      <c r="F805" t="s">
        <v>5613</v>
      </c>
      <c r="G805" t="s">
        <v>1540</v>
      </c>
      <c r="H805" t="s">
        <v>5614</v>
      </c>
    </row>
    <row r="806" spans="1:8" ht="14" customHeight="1" x14ac:dyDescent="0.2">
      <c r="C806" t="s">
        <v>3164</v>
      </c>
      <c r="D806" t="s">
        <v>4144</v>
      </c>
      <c r="E806" t="s">
        <v>1541</v>
      </c>
      <c r="F806" t="s">
        <v>5615</v>
      </c>
      <c r="G806" t="s">
        <v>1542</v>
      </c>
      <c r="H806" t="s">
        <v>5616</v>
      </c>
    </row>
    <row r="807" spans="1:8" ht="14" customHeight="1" x14ac:dyDescent="0.2">
      <c r="A807" t="s">
        <v>2386</v>
      </c>
      <c r="B807" t="s">
        <v>3350</v>
      </c>
      <c r="E807" s="1" t="s">
        <v>1543</v>
      </c>
      <c r="F807" t="s">
        <v>5617</v>
      </c>
      <c r="G807" s="1" t="s">
        <v>1544</v>
      </c>
      <c r="H807" t="s">
        <v>5618</v>
      </c>
    </row>
    <row r="808" spans="1:8" ht="14" customHeight="1" x14ac:dyDescent="0.2">
      <c r="A808" t="s">
        <v>2685</v>
      </c>
      <c r="B808" t="s">
        <v>3738</v>
      </c>
      <c r="C808" t="s">
        <v>3165</v>
      </c>
      <c r="D808" t="s">
        <v>4145</v>
      </c>
      <c r="E808" t="s">
        <v>1545</v>
      </c>
      <c r="F808" t="s">
        <v>5619</v>
      </c>
      <c r="G808" t="s">
        <v>1546</v>
      </c>
      <c r="H808" t="s">
        <v>5620</v>
      </c>
    </row>
    <row r="809" spans="1:8" ht="14" customHeight="1" x14ac:dyDescent="0.2">
      <c r="A809" t="s">
        <v>2686</v>
      </c>
      <c r="B809" t="s">
        <v>3739</v>
      </c>
      <c r="C809" t="s">
        <v>3166</v>
      </c>
      <c r="D809" t="s">
        <v>4146</v>
      </c>
      <c r="E809" t="s">
        <v>1547</v>
      </c>
      <c r="F809" t="s">
        <v>5621</v>
      </c>
      <c r="G809" t="s">
        <v>1548</v>
      </c>
      <c r="H809" t="s">
        <v>5622</v>
      </c>
    </row>
    <row r="810" spans="1:8" ht="14" customHeight="1" x14ac:dyDescent="0.2">
      <c r="A810" t="s">
        <v>2687</v>
      </c>
      <c r="B810" t="s">
        <v>3740</v>
      </c>
      <c r="C810" t="s">
        <v>3167</v>
      </c>
      <c r="D810" t="s">
        <v>4147</v>
      </c>
      <c r="E810" t="s">
        <v>1549</v>
      </c>
      <c r="F810" t="s">
        <v>5623</v>
      </c>
      <c r="G810" t="s">
        <v>1550</v>
      </c>
      <c r="H810" t="s">
        <v>5624</v>
      </c>
    </row>
    <row r="811" spans="1:8" ht="14" customHeight="1" x14ac:dyDescent="0.2">
      <c r="A811" t="s">
        <v>2688</v>
      </c>
      <c r="B811" t="s">
        <v>3741</v>
      </c>
      <c r="C811" t="s">
        <v>3168</v>
      </c>
      <c r="D811" t="s">
        <v>4148</v>
      </c>
      <c r="E811" s="1" t="s">
        <v>1551</v>
      </c>
      <c r="F811" t="s">
        <v>5625</v>
      </c>
      <c r="G811" s="1" t="s">
        <v>1552</v>
      </c>
      <c r="H811" t="s">
        <v>5626</v>
      </c>
    </row>
    <row r="812" spans="1:8" ht="14" customHeight="1" x14ac:dyDescent="0.2">
      <c r="A812" t="s">
        <v>2689</v>
      </c>
      <c r="B812" t="s">
        <v>3742</v>
      </c>
      <c r="E812" s="1" t="s">
        <v>1553</v>
      </c>
      <c r="F812" t="s">
        <v>5627</v>
      </c>
      <c r="G812" s="1" t="s">
        <v>1554</v>
      </c>
      <c r="H812" t="s">
        <v>5628</v>
      </c>
    </row>
    <row r="813" spans="1:8" ht="14" customHeight="1" x14ac:dyDescent="0.2">
      <c r="A813" t="s">
        <v>2690</v>
      </c>
      <c r="B813" t="s">
        <v>3743</v>
      </c>
      <c r="E813" t="s">
        <v>1555</v>
      </c>
      <c r="F813" t="s">
        <v>5629</v>
      </c>
      <c r="G813" t="s">
        <v>1556</v>
      </c>
      <c r="H813" t="s">
        <v>5630</v>
      </c>
    </row>
    <row r="814" spans="1:8" ht="14" customHeight="1" x14ac:dyDescent="0.2">
      <c r="A814" t="s">
        <v>2691</v>
      </c>
      <c r="B814" t="s">
        <v>3744</v>
      </c>
      <c r="C814" t="s">
        <v>3169</v>
      </c>
      <c r="D814" t="s">
        <v>4149</v>
      </c>
      <c r="E814" t="s">
        <v>1557</v>
      </c>
      <c r="F814" t="s">
        <v>1557</v>
      </c>
      <c r="G814" t="s">
        <v>1558</v>
      </c>
      <c r="H814" t="s">
        <v>5631</v>
      </c>
    </row>
    <row r="815" spans="1:8" ht="14" customHeight="1" x14ac:dyDescent="0.2">
      <c r="A815" t="s">
        <v>2692</v>
      </c>
      <c r="B815" t="s">
        <v>3745</v>
      </c>
      <c r="C815" t="s">
        <v>2873</v>
      </c>
      <c r="E815" t="s">
        <v>1559</v>
      </c>
      <c r="F815" t="s">
        <v>5632</v>
      </c>
      <c r="G815" t="s">
        <v>1560</v>
      </c>
      <c r="H815" t="s">
        <v>5633</v>
      </c>
    </row>
    <row r="816" spans="1:8" ht="14" customHeight="1" x14ac:dyDescent="0.2">
      <c r="A816" t="s">
        <v>2693</v>
      </c>
      <c r="B816" t="s">
        <v>2693</v>
      </c>
      <c r="C816" t="s">
        <v>3170</v>
      </c>
      <c r="D816" t="s">
        <v>4150</v>
      </c>
      <c r="E816" t="s">
        <v>1561</v>
      </c>
      <c r="F816" t="s">
        <v>5634</v>
      </c>
      <c r="G816" t="s">
        <v>1562</v>
      </c>
      <c r="H816" t="s">
        <v>5635</v>
      </c>
    </row>
    <row r="817" spans="1:8" ht="14" customHeight="1" x14ac:dyDescent="0.2">
      <c r="A817" t="s">
        <v>2694</v>
      </c>
      <c r="B817" t="s">
        <v>3746</v>
      </c>
      <c r="C817" t="s">
        <v>3171</v>
      </c>
      <c r="D817" t="s">
        <v>4151</v>
      </c>
      <c r="E817" t="s">
        <v>1563</v>
      </c>
      <c r="F817" t="s">
        <v>5636</v>
      </c>
      <c r="G817" t="s">
        <v>1564</v>
      </c>
      <c r="H817" t="s">
        <v>5637</v>
      </c>
    </row>
    <row r="818" spans="1:8" ht="14" customHeight="1" x14ac:dyDescent="0.2">
      <c r="A818" t="s">
        <v>2695</v>
      </c>
      <c r="B818" t="s">
        <v>3747</v>
      </c>
      <c r="C818" t="s">
        <v>3172</v>
      </c>
      <c r="D818" t="s">
        <v>3172</v>
      </c>
      <c r="E818" t="s">
        <v>1565</v>
      </c>
      <c r="F818" t="s">
        <v>5638</v>
      </c>
      <c r="G818" t="s">
        <v>1566</v>
      </c>
    </row>
    <row r="819" spans="1:8" ht="14" customHeight="1" x14ac:dyDescent="0.2">
      <c r="A819" t="s">
        <v>2696</v>
      </c>
      <c r="B819" t="s">
        <v>3748</v>
      </c>
      <c r="C819" t="s">
        <v>3173</v>
      </c>
      <c r="D819" t="s">
        <v>4152</v>
      </c>
      <c r="E819" t="s">
        <v>1567</v>
      </c>
      <c r="F819" t="s">
        <v>5639</v>
      </c>
      <c r="G819" t="s">
        <v>1568</v>
      </c>
      <c r="H819" t="s">
        <v>5640</v>
      </c>
    </row>
    <row r="820" spans="1:8" ht="14" customHeight="1" x14ac:dyDescent="0.2">
      <c r="A820" t="s">
        <v>2697</v>
      </c>
      <c r="B820" t="s">
        <v>3749</v>
      </c>
      <c r="C820" t="s">
        <v>2697</v>
      </c>
      <c r="E820" t="s">
        <v>1569</v>
      </c>
      <c r="F820" t="s">
        <v>5641</v>
      </c>
      <c r="G820" t="s">
        <v>1570</v>
      </c>
      <c r="H820" t="s">
        <v>5642</v>
      </c>
    </row>
    <row r="821" spans="1:8" ht="14" customHeight="1" x14ac:dyDescent="0.2">
      <c r="A821" t="s">
        <v>2698</v>
      </c>
      <c r="B821" t="s">
        <v>3750</v>
      </c>
      <c r="C821" t="s">
        <v>3174</v>
      </c>
      <c r="D821" t="s">
        <v>4153</v>
      </c>
      <c r="E821" t="s">
        <v>1571</v>
      </c>
      <c r="F821" t="s">
        <v>5643</v>
      </c>
      <c r="G821" s="1" t="s">
        <v>1572</v>
      </c>
      <c r="H821" t="s">
        <v>5644</v>
      </c>
    </row>
    <row r="822" spans="1:8" ht="14" customHeight="1" x14ac:dyDescent="0.2">
      <c r="A822" t="s">
        <v>2699</v>
      </c>
      <c r="B822" t="s">
        <v>3751</v>
      </c>
      <c r="C822" t="s">
        <v>3175</v>
      </c>
      <c r="D822" t="s">
        <v>4154</v>
      </c>
      <c r="E822" t="s">
        <v>1573</v>
      </c>
      <c r="F822" t="s">
        <v>5645</v>
      </c>
      <c r="G822" t="s">
        <v>1574</v>
      </c>
      <c r="H822" t="s">
        <v>5646</v>
      </c>
    </row>
    <row r="823" spans="1:8" ht="14" customHeight="1" x14ac:dyDescent="0.2">
      <c r="A823" t="s">
        <v>2700</v>
      </c>
      <c r="B823" t="s">
        <v>3752</v>
      </c>
      <c r="C823" t="s">
        <v>3176</v>
      </c>
      <c r="D823" t="s">
        <v>4155</v>
      </c>
      <c r="E823" t="s">
        <v>1575</v>
      </c>
      <c r="F823" t="s">
        <v>1575</v>
      </c>
      <c r="G823" t="s">
        <v>1576</v>
      </c>
      <c r="H823" t="s">
        <v>5647</v>
      </c>
    </row>
    <row r="824" spans="1:8" ht="14" customHeight="1" x14ac:dyDescent="0.2">
      <c r="A824" t="s">
        <v>2701</v>
      </c>
      <c r="B824" t="s">
        <v>3753</v>
      </c>
      <c r="C824" t="s">
        <v>3177</v>
      </c>
      <c r="D824" t="s">
        <v>4156</v>
      </c>
      <c r="E824" t="s">
        <v>1577</v>
      </c>
      <c r="F824" t="s">
        <v>5648</v>
      </c>
      <c r="G824" t="s">
        <v>1578</v>
      </c>
      <c r="H824" t="s">
        <v>5649</v>
      </c>
    </row>
    <row r="825" spans="1:8" ht="14" customHeight="1" x14ac:dyDescent="0.2">
      <c r="A825" t="s">
        <v>2702</v>
      </c>
      <c r="B825" t="s">
        <v>3754</v>
      </c>
      <c r="C825" t="s">
        <v>3178</v>
      </c>
      <c r="D825" t="s">
        <v>4157</v>
      </c>
      <c r="E825" t="s">
        <v>1579</v>
      </c>
      <c r="F825" t="s">
        <v>5650</v>
      </c>
      <c r="G825" t="s">
        <v>1580</v>
      </c>
      <c r="H825" t="s">
        <v>5651</v>
      </c>
    </row>
    <row r="826" spans="1:8" ht="14" customHeight="1" x14ac:dyDescent="0.2">
      <c r="A826" t="s">
        <v>2703</v>
      </c>
      <c r="B826" t="s">
        <v>3755</v>
      </c>
      <c r="C826" t="s">
        <v>3179</v>
      </c>
      <c r="D826" t="s">
        <v>4158</v>
      </c>
      <c r="E826" t="s">
        <v>1581</v>
      </c>
      <c r="F826" t="s">
        <v>5652</v>
      </c>
      <c r="G826" t="s">
        <v>1582</v>
      </c>
      <c r="H826" t="s">
        <v>5653</v>
      </c>
    </row>
    <row r="827" spans="1:8" ht="14" customHeight="1" x14ac:dyDescent="0.2">
      <c r="A827" t="s">
        <v>2704</v>
      </c>
      <c r="B827" t="s">
        <v>3756</v>
      </c>
      <c r="C827" t="s">
        <v>3180</v>
      </c>
      <c r="E827" t="s">
        <v>1583</v>
      </c>
      <c r="F827" t="s">
        <v>5654</v>
      </c>
      <c r="G827" t="s">
        <v>1584</v>
      </c>
      <c r="H827" t="s">
        <v>5655</v>
      </c>
    </row>
    <row r="828" spans="1:8" ht="14" customHeight="1" x14ac:dyDescent="0.2">
      <c r="A828" t="s">
        <v>2705</v>
      </c>
      <c r="B828" t="s">
        <v>3757</v>
      </c>
      <c r="E828" t="s">
        <v>1585</v>
      </c>
      <c r="F828" t="s">
        <v>5656</v>
      </c>
      <c r="G828" t="s">
        <v>1586</v>
      </c>
      <c r="H828" t="s">
        <v>5657</v>
      </c>
    </row>
    <row r="829" spans="1:8" ht="14" customHeight="1" x14ac:dyDescent="0.2">
      <c r="A829" t="s">
        <v>2706</v>
      </c>
      <c r="B829" t="s">
        <v>3758</v>
      </c>
      <c r="C829" t="s">
        <v>3181</v>
      </c>
      <c r="D829" t="s">
        <v>4159</v>
      </c>
      <c r="E829" t="s">
        <v>1587</v>
      </c>
      <c r="F829" t="s">
        <v>5658</v>
      </c>
      <c r="G829" t="s">
        <v>1588</v>
      </c>
      <c r="H829" t="s">
        <v>5659</v>
      </c>
    </row>
    <row r="830" spans="1:8" ht="14" customHeight="1" x14ac:dyDescent="0.2">
      <c r="A830" t="s">
        <v>2707</v>
      </c>
      <c r="B830" t="s">
        <v>3759</v>
      </c>
      <c r="C830" t="s">
        <v>3182</v>
      </c>
      <c r="D830" t="s">
        <v>4160</v>
      </c>
      <c r="E830" t="s">
        <v>1589</v>
      </c>
      <c r="F830" t="s">
        <v>1589</v>
      </c>
      <c r="G830" t="s">
        <v>1590</v>
      </c>
      <c r="H830" t="s">
        <v>5660</v>
      </c>
    </row>
    <row r="831" spans="1:8" ht="14" customHeight="1" x14ac:dyDescent="0.2">
      <c r="A831" t="s">
        <v>2708</v>
      </c>
      <c r="B831" t="s">
        <v>3760</v>
      </c>
      <c r="C831" t="s">
        <v>3183</v>
      </c>
      <c r="D831" t="s">
        <v>4161</v>
      </c>
      <c r="E831" t="s">
        <v>422</v>
      </c>
      <c r="F831" t="s">
        <v>3651</v>
      </c>
      <c r="G831" t="s">
        <v>1591</v>
      </c>
      <c r="H831" t="s">
        <v>5661</v>
      </c>
    </row>
    <row r="832" spans="1:8" ht="14" customHeight="1" x14ac:dyDescent="0.2">
      <c r="A832" t="s">
        <v>2709</v>
      </c>
      <c r="B832" t="s">
        <v>3761</v>
      </c>
      <c r="E832" s="1" t="s">
        <v>1592</v>
      </c>
      <c r="F832" t="s">
        <v>5662</v>
      </c>
      <c r="G832" s="1" t="s">
        <v>1593</v>
      </c>
      <c r="H832" t="s">
        <v>5663</v>
      </c>
    </row>
    <row r="833" spans="1:8" ht="14" customHeight="1" x14ac:dyDescent="0.2">
      <c r="A833" t="s">
        <v>2710</v>
      </c>
      <c r="B833" t="s">
        <v>3762</v>
      </c>
      <c r="E833" t="s">
        <v>1594</v>
      </c>
      <c r="F833" t="s">
        <v>5664</v>
      </c>
      <c r="G833" t="s">
        <v>1595</v>
      </c>
      <c r="H833" t="s">
        <v>5665</v>
      </c>
    </row>
    <row r="834" spans="1:8" ht="14" customHeight="1" x14ac:dyDescent="0.2">
      <c r="A834" t="s">
        <v>2711</v>
      </c>
      <c r="B834" t="s">
        <v>3763</v>
      </c>
      <c r="E834" t="s">
        <v>1596</v>
      </c>
      <c r="F834" t="s">
        <v>5666</v>
      </c>
      <c r="G834" t="s">
        <v>1597</v>
      </c>
      <c r="H834" t="s">
        <v>5667</v>
      </c>
    </row>
    <row r="835" spans="1:8" ht="14" customHeight="1" x14ac:dyDescent="0.2">
      <c r="A835" t="s">
        <v>2712</v>
      </c>
      <c r="B835" t="s">
        <v>3764</v>
      </c>
      <c r="C835" t="s">
        <v>3184</v>
      </c>
      <c r="D835" t="s">
        <v>4162</v>
      </c>
      <c r="E835" t="s">
        <v>1598</v>
      </c>
      <c r="F835" t="s">
        <v>5668</v>
      </c>
      <c r="G835" t="s">
        <v>1599</v>
      </c>
      <c r="H835" t="s">
        <v>5669</v>
      </c>
    </row>
    <row r="836" spans="1:8" ht="14" customHeight="1" x14ac:dyDescent="0.2">
      <c r="A836" t="s">
        <v>2713</v>
      </c>
      <c r="B836" t="s">
        <v>3765</v>
      </c>
      <c r="C836" t="s">
        <v>3185</v>
      </c>
      <c r="D836" t="s">
        <v>4163</v>
      </c>
      <c r="E836" t="s">
        <v>1600</v>
      </c>
      <c r="F836" t="s">
        <v>5670</v>
      </c>
      <c r="G836" t="s">
        <v>1601</v>
      </c>
      <c r="H836" t="s">
        <v>5671</v>
      </c>
    </row>
    <row r="837" spans="1:8" ht="14" customHeight="1" x14ac:dyDescent="0.2">
      <c r="A837" t="s">
        <v>2714</v>
      </c>
      <c r="B837" t="s">
        <v>3766</v>
      </c>
      <c r="E837" t="s">
        <v>1602</v>
      </c>
      <c r="F837" t="s">
        <v>5672</v>
      </c>
      <c r="G837" t="s">
        <v>1603</v>
      </c>
      <c r="H837" t="s">
        <v>5673</v>
      </c>
    </row>
    <row r="838" spans="1:8" ht="14" customHeight="1" x14ac:dyDescent="0.2">
      <c r="A838" t="s">
        <v>2715</v>
      </c>
      <c r="B838" t="s">
        <v>3767</v>
      </c>
      <c r="C838" t="s">
        <v>3186</v>
      </c>
      <c r="D838" t="s">
        <v>4164</v>
      </c>
      <c r="E838" t="s">
        <v>1604</v>
      </c>
      <c r="F838" t="s">
        <v>5674</v>
      </c>
      <c r="G838" t="s">
        <v>1605</v>
      </c>
      <c r="H838" t="s">
        <v>5675</v>
      </c>
    </row>
    <row r="839" spans="1:8" ht="14" customHeight="1" x14ac:dyDescent="0.2">
      <c r="A839" t="s">
        <v>2716</v>
      </c>
      <c r="B839" t="s">
        <v>3341</v>
      </c>
      <c r="C839" t="s">
        <v>3187</v>
      </c>
      <c r="D839" t="s">
        <v>4165</v>
      </c>
      <c r="E839" s="1" t="s">
        <v>1606</v>
      </c>
      <c r="F839" t="s">
        <v>5676</v>
      </c>
      <c r="G839" s="1" t="s">
        <v>1607</v>
      </c>
      <c r="H839" t="s">
        <v>5677</v>
      </c>
    </row>
    <row r="840" spans="1:8" ht="14" customHeight="1" x14ac:dyDescent="0.2">
      <c r="A840" t="s">
        <v>2717</v>
      </c>
      <c r="B840" t="s">
        <v>3768</v>
      </c>
      <c r="E840" t="s">
        <v>1608</v>
      </c>
      <c r="G840" s="1" t="s">
        <v>1609</v>
      </c>
      <c r="H840" t="s">
        <v>5678</v>
      </c>
    </row>
    <row r="841" spans="1:8" ht="14" customHeight="1" x14ac:dyDescent="0.2">
      <c r="A841" t="s">
        <v>2718</v>
      </c>
      <c r="B841" t="s">
        <v>3769</v>
      </c>
      <c r="C841" t="s">
        <v>3188</v>
      </c>
      <c r="D841" t="s">
        <v>4166</v>
      </c>
      <c r="E841" t="s">
        <v>1610</v>
      </c>
      <c r="F841" t="s">
        <v>5679</v>
      </c>
      <c r="G841" t="s">
        <v>1611</v>
      </c>
      <c r="H841" t="s">
        <v>5680</v>
      </c>
    </row>
    <row r="842" spans="1:8" ht="14" customHeight="1" x14ac:dyDescent="0.2">
      <c r="A842" t="s">
        <v>2487</v>
      </c>
      <c r="B842" t="s">
        <v>3324</v>
      </c>
      <c r="C842" t="e">
        <f>-- reward people and create opportunities For Growth</f>
        <v>#NAME?</v>
      </c>
      <c r="D842" t="s">
        <v>4167</v>
      </c>
      <c r="E842" t="s">
        <v>1612</v>
      </c>
      <c r="F842" t="s">
        <v>5681</v>
      </c>
      <c r="G842" t="s">
        <v>1613</v>
      </c>
      <c r="H842" t="s">
        <v>5682</v>
      </c>
    </row>
    <row r="843" spans="1:8" ht="14" customHeight="1" x14ac:dyDescent="0.2">
      <c r="A843" t="s">
        <v>2719</v>
      </c>
      <c r="B843" t="s">
        <v>3424</v>
      </c>
      <c r="E843" t="s">
        <v>1614</v>
      </c>
      <c r="F843" t="s">
        <v>5683</v>
      </c>
      <c r="G843" t="s">
        <v>1615</v>
      </c>
      <c r="H843" t="s">
        <v>5684</v>
      </c>
    </row>
    <row r="844" spans="1:8" ht="14" customHeight="1" x14ac:dyDescent="0.2">
      <c r="A844" t="s">
        <v>2720</v>
      </c>
      <c r="B844" t="s">
        <v>3770</v>
      </c>
      <c r="C844" t="s">
        <v>3189</v>
      </c>
      <c r="D844" t="s">
        <v>4168</v>
      </c>
      <c r="E844" t="s">
        <v>1616</v>
      </c>
      <c r="F844" t="s">
        <v>5685</v>
      </c>
      <c r="G844" t="s">
        <v>1617</v>
      </c>
      <c r="H844" t="s">
        <v>5686</v>
      </c>
    </row>
    <row r="845" spans="1:8" ht="14" customHeight="1" x14ac:dyDescent="0.2">
      <c r="A845" t="s">
        <v>2721</v>
      </c>
      <c r="C845" t="s">
        <v>3190</v>
      </c>
      <c r="D845" t="s">
        <v>4169</v>
      </c>
      <c r="E845" t="e">
        <f>-it was a great opportunity to network</f>
        <v>#NAME?</v>
      </c>
      <c r="F845" t="s">
        <v>5687</v>
      </c>
      <c r="G845" t="e">
        <f>-the online internships were not great</f>
        <v>#NAME?</v>
      </c>
      <c r="H845" t="s">
        <v>5688</v>
      </c>
    </row>
    <row r="846" spans="1:8" ht="14" customHeight="1" x14ac:dyDescent="0.2">
      <c r="A846" t="s">
        <v>2722</v>
      </c>
      <c r="B846" t="s">
        <v>3771</v>
      </c>
      <c r="C846" t="s">
        <v>3191</v>
      </c>
      <c r="D846" t="s">
        <v>4170</v>
      </c>
      <c r="E846" t="s">
        <v>1618</v>
      </c>
      <c r="F846" t="s">
        <v>5689</v>
      </c>
      <c r="G846" s="1" t="s">
        <v>1619</v>
      </c>
      <c r="H846" t="s">
        <v>5690</v>
      </c>
    </row>
    <row r="847" spans="1:8" ht="14" customHeight="1" x14ac:dyDescent="0.2">
      <c r="A847" t="s">
        <v>2723</v>
      </c>
      <c r="B847" t="s">
        <v>3772</v>
      </c>
      <c r="E847" t="s">
        <v>1620</v>
      </c>
      <c r="F847" t="s">
        <v>5691</v>
      </c>
      <c r="G847" s="1" t="s">
        <v>1621</v>
      </c>
      <c r="H847" t="s">
        <v>5692</v>
      </c>
    </row>
    <row r="848" spans="1:8" ht="14" customHeight="1" x14ac:dyDescent="0.2">
      <c r="A848" t="s">
        <v>2724</v>
      </c>
      <c r="B848" t="s">
        <v>3773</v>
      </c>
      <c r="E848" t="s">
        <v>1622</v>
      </c>
      <c r="F848" t="s">
        <v>5693</v>
      </c>
      <c r="G848" t="s">
        <v>1623</v>
      </c>
      <c r="H848" t="s">
        <v>5694</v>
      </c>
    </row>
    <row r="849" spans="1:8" ht="14" customHeight="1" x14ac:dyDescent="0.2">
      <c r="A849" t="s">
        <v>2725</v>
      </c>
      <c r="B849" t="s">
        <v>3774</v>
      </c>
      <c r="E849" t="s">
        <v>1624</v>
      </c>
      <c r="F849" t="s">
        <v>5695</v>
      </c>
      <c r="G849" t="s">
        <v>1625</v>
      </c>
      <c r="H849" t="s">
        <v>5696</v>
      </c>
    </row>
    <row r="850" spans="1:8" ht="14" customHeight="1" x14ac:dyDescent="0.2">
      <c r="A850" t="s">
        <v>2726</v>
      </c>
      <c r="B850" t="s">
        <v>3775</v>
      </c>
      <c r="C850" t="s">
        <v>3192</v>
      </c>
      <c r="D850" t="s">
        <v>4171</v>
      </c>
      <c r="E850" t="s">
        <v>1626</v>
      </c>
      <c r="F850" t="s">
        <v>5697</v>
      </c>
      <c r="G850" t="s">
        <v>1627</v>
      </c>
      <c r="H850" t="s">
        <v>5698</v>
      </c>
    </row>
    <row r="851" spans="1:8" ht="14" customHeight="1" x14ac:dyDescent="0.2">
      <c r="A851" t="s">
        <v>2727</v>
      </c>
      <c r="B851" t="s">
        <v>3776</v>
      </c>
      <c r="E851" t="s">
        <v>1628</v>
      </c>
      <c r="F851" t="s">
        <v>5699</v>
      </c>
      <c r="G851" t="s">
        <v>1629</v>
      </c>
      <c r="H851" t="s">
        <v>5700</v>
      </c>
    </row>
    <row r="852" spans="1:8" ht="14" customHeight="1" x14ac:dyDescent="0.2">
      <c r="A852" t="s">
        <v>2728</v>
      </c>
      <c r="B852" t="s">
        <v>3777</v>
      </c>
      <c r="C852" t="s">
        <v>3193</v>
      </c>
      <c r="D852" t="s">
        <v>3193</v>
      </c>
      <c r="E852" t="s">
        <v>1630</v>
      </c>
      <c r="G852" t="s">
        <v>1631</v>
      </c>
      <c r="H852" t="s">
        <v>5701</v>
      </c>
    </row>
    <row r="853" spans="1:8" ht="14" customHeight="1" x14ac:dyDescent="0.2">
      <c r="A853" t="s">
        <v>2061</v>
      </c>
      <c r="B853" t="s">
        <v>3440</v>
      </c>
      <c r="C853" t="s">
        <v>3194</v>
      </c>
      <c r="E853" t="s">
        <v>1632</v>
      </c>
      <c r="F853" t="s">
        <v>5702</v>
      </c>
      <c r="G853" t="s">
        <v>1633</v>
      </c>
      <c r="H853" t="s">
        <v>5703</v>
      </c>
    </row>
    <row r="854" spans="1:8" ht="14" customHeight="1" x14ac:dyDescent="0.2">
      <c r="A854" t="s">
        <v>2729</v>
      </c>
      <c r="B854" t="s">
        <v>3778</v>
      </c>
      <c r="C854" t="s">
        <v>3195</v>
      </c>
      <c r="D854" t="s">
        <v>4172</v>
      </c>
      <c r="E854" t="s">
        <v>1634</v>
      </c>
      <c r="F854" t="s">
        <v>5704</v>
      </c>
      <c r="G854" t="s">
        <v>1635</v>
      </c>
      <c r="H854" t="s">
        <v>5705</v>
      </c>
    </row>
    <row r="855" spans="1:8" ht="14" customHeight="1" x14ac:dyDescent="0.2">
      <c r="A855" t="s">
        <v>2730</v>
      </c>
      <c r="B855" t="s">
        <v>2730</v>
      </c>
      <c r="C855" t="s">
        <v>3196</v>
      </c>
      <c r="D855" t="s">
        <v>4173</v>
      </c>
      <c r="E855" t="s">
        <v>1636</v>
      </c>
      <c r="F855" t="s">
        <v>5706</v>
      </c>
      <c r="G855" t="s">
        <v>1637</v>
      </c>
      <c r="H855" t="s">
        <v>5707</v>
      </c>
    </row>
    <row r="856" spans="1:8" ht="14" customHeight="1" x14ac:dyDescent="0.2">
      <c r="A856" t="s">
        <v>2731</v>
      </c>
      <c r="B856" t="s">
        <v>3779</v>
      </c>
      <c r="C856" t="s">
        <v>3197</v>
      </c>
      <c r="D856" t="s">
        <v>4174</v>
      </c>
      <c r="E856" t="s">
        <v>1638</v>
      </c>
      <c r="F856" t="s">
        <v>4475</v>
      </c>
      <c r="G856" t="s">
        <v>1639</v>
      </c>
      <c r="H856" t="s">
        <v>5708</v>
      </c>
    </row>
    <row r="857" spans="1:8" ht="14" customHeight="1" x14ac:dyDescent="0.2">
      <c r="A857" t="s">
        <v>2732</v>
      </c>
      <c r="B857" t="s">
        <v>2732</v>
      </c>
      <c r="C857" t="s">
        <v>3180</v>
      </c>
      <c r="E857" t="s">
        <v>1640</v>
      </c>
      <c r="F857" t="s">
        <v>1640</v>
      </c>
      <c r="G857" t="s">
        <v>1641</v>
      </c>
      <c r="H857" t="s">
        <v>5709</v>
      </c>
    </row>
    <row r="858" spans="1:8" ht="14" customHeight="1" x14ac:dyDescent="0.2">
      <c r="A858" t="s">
        <v>2733</v>
      </c>
      <c r="B858" t="s">
        <v>3780</v>
      </c>
      <c r="C858" t="s">
        <v>3198</v>
      </c>
      <c r="D858" t="s">
        <v>4175</v>
      </c>
      <c r="E858" t="s">
        <v>1642</v>
      </c>
      <c r="F858" t="s">
        <v>5710</v>
      </c>
      <c r="G858" t="s">
        <v>1643</v>
      </c>
      <c r="H858" t="s">
        <v>5711</v>
      </c>
    </row>
    <row r="859" spans="1:8" ht="14" customHeight="1" x14ac:dyDescent="0.2">
      <c r="A859" t="s">
        <v>2734</v>
      </c>
      <c r="B859" t="s">
        <v>3781</v>
      </c>
      <c r="C859" t="s">
        <v>3199</v>
      </c>
      <c r="D859" t="s">
        <v>4176</v>
      </c>
      <c r="E859" t="e">
        <f>- Nom reconnu
- Locaux spacieux
- Horaires corrects</f>
        <v>#NAME?</v>
      </c>
      <c r="F859" t="s">
        <v>5712</v>
      </c>
      <c r="G859" s="1" t="s">
        <v>1644</v>
      </c>
      <c r="H859" t="s">
        <v>5713</v>
      </c>
    </row>
    <row r="860" spans="1:8" ht="14" customHeight="1" x14ac:dyDescent="0.2">
      <c r="A860" t="s">
        <v>2735</v>
      </c>
      <c r="B860" t="s">
        <v>3782</v>
      </c>
      <c r="C860" t="s">
        <v>3200</v>
      </c>
      <c r="D860" t="s">
        <v>4177</v>
      </c>
      <c r="E860" t="s">
        <v>1645</v>
      </c>
      <c r="F860" t="s">
        <v>5714</v>
      </c>
      <c r="G860" t="s">
        <v>1646</v>
      </c>
      <c r="H860" t="s">
        <v>5715</v>
      </c>
    </row>
    <row r="861" spans="1:8" ht="14" customHeight="1" x14ac:dyDescent="0.2">
      <c r="A861" t="s">
        <v>2736</v>
      </c>
      <c r="E861" t="s">
        <v>1647</v>
      </c>
      <c r="G861" s="1" t="s">
        <v>1648</v>
      </c>
      <c r="H861" t="s">
        <v>5716</v>
      </c>
    </row>
    <row r="862" spans="1:8" ht="14" customHeight="1" x14ac:dyDescent="0.2">
      <c r="A862" t="s">
        <v>2737</v>
      </c>
      <c r="C862" s="1" t="s">
        <v>3201</v>
      </c>
      <c r="D862" t="s">
        <v>4178</v>
      </c>
      <c r="E862" s="1" t="s">
        <v>1649</v>
      </c>
      <c r="F862" t="s">
        <v>5717</v>
      </c>
      <c r="G862" t="s">
        <v>1650</v>
      </c>
      <c r="H862" t="s">
        <v>5718</v>
      </c>
    </row>
    <row r="863" spans="1:8" ht="14" customHeight="1" x14ac:dyDescent="0.2">
      <c r="A863" t="s">
        <v>2255</v>
      </c>
      <c r="B863" t="s">
        <v>3442</v>
      </c>
      <c r="E863" t="s">
        <v>1651</v>
      </c>
      <c r="F863" t="s">
        <v>5719</v>
      </c>
      <c r="G863" t="s">
        <v>1652</v>
      </c>
      <c r="H863" t="s">
        <v>5720</v>
      </c>
    </row>
    <row r="864" spans="1:8" ht="14" customHeight="1" x14ac:dyDescent="0.2">
      <c r="A864" t="s">
        <v>2738</v>
      </c>
      <c r="B864" t="s">
        <v>3783</v>
      </c>
      <c r="C864" t="s">
        <v>3202</v>
      </c>
      <c r="D864" t="s">
        <v>4179</v>
      </c>
      <c r="E864" t="s">
        <v>1653</v>
      </c>
      <c r="F864" t="s">
        <v>5721</v>
      </c>
      <c r="G864" t="s">
        <v>1654</v>
      </c>
      <c r="H864" t="s">
        <v>5722</v>
      </c>
    </row>
    <row r="865" spans="1:8" ht="14" customHeight="1" x14ac:dyDescent="0.2">
      <c r="A865" t="s">
        <v>2487</v>
      </c>
      <c r="B865" t="s">
        <v>3324</v>
      </c>
      <c r="C865" t="s">
        <v>3203</v>
      </c>
      <c r="E865" t="s">
        <v>1655</v>
      </c>
      <c r="F865" t="s">
        <v>5723</v>
      </c>
      <c r="G865" t="s">
        <v>1656</v>
      </c>
      <c r="H865" t="s">
        <v>5724</v>
      </c>
    </row>
    <row r="866" spans="1:8" ht="14" customHeight="1" x14ac:dyDescent="0.2">
      <c r="A866" t="s">
        <v>2739</v>
      </c>
      <c r="B866" t="s">
        <v>3784</v>
      </c>
      <c r="C866" t="s">
        <v>3204</v>
      </c>
      <c r="D866" t="s">
        <v>4180</v>
      </c>
      <c r="E866" t="s">
        <v>1657</v>
      </c>
      <c r="F866" t="s">
        <v>5725</v>
      </c>
      <c r="G866" t="s">
        <v>1658</v>
      </c>
      <c r="H866" t="s">
        <v>5726</v>
      </c>
    </row>
    <row r="867" spans="1:8" ht="14" customHeight="1" x14ac:dyDescent="0.2">
      <c r="A867" t="s">
        <v>2740</v>
      </c>
      <c r="B867" t="s">
        <v>3785</v>
      </c>
      <c r="C867" t="s">
        <v>3205</v>
      </c>
      <c r="D867" t="s">
        <v>4181</v>
      </c>
      <c r="E867" t="s">
        <v>1659</v>
      </c>
      <c r="F867" t="s">
        <v>5727</v>
      </c>
      <c r="G867" t="s">
        <v>1660</v>
      </c>
      <c r="H867" t="s">
        <v>5728</v>
      </c>
    </row>
    <row r="868" spans="1:8" ht="14" customHeight="1" x14ac:dyDescent="0.2">
      <c r="A868" t="s">
        <v>2741</v>
      </c>
      <c r="B868" t="s">
        <v>3786</v>
      </c>
      <c r="E868" t="s">
        <v>1661</v>
      </c>
      <c r="G868" t="s">
        <v>1662</v>
      </c>
      <c r="H868" t="s">
        <v>5729</v>
      </c>
    </row>
    <row r="869" spans="1:8" ht="14" customHeight="1" x14ac:dyDescent="0.2">
      <c r="A869" t="s">
        <v>2742</v>
      </c>
      <c r="B869" t="s">
        <v>3787</v>
      </c>
      <c r="E869" t="s">
        <v>1663</v>
      </c>
      <c r="F869" t="s">
        <v>5730</v>
      </c>
      <c r="G869" t="s">
        <v>1664</v>
      </c>
      <c r="H869" t="s">
        <v>5731</v>
      </c>
    </row>
    <row r="870" spans="1:8" ht="14" customHeight="1" x14ac:dyDescent="0.2">
      <c r="A870" t="s">
        <v>2743</v>
      </c>
      <c r="B870" t="s">
        <v>3788</v>
      </c>
      <c r="E870" t="s">
        <v>1665</v>
      </c>
      <c r="F870" t="s">
        <v>5732</v>
      </c>
      <c r="G870" t="s">
        <v>1666</v>
      </c>
      <c r="H870" t="s">
        <v>5733</v>
      </c>
    </row>
    <row r="871" spans="1:8" ht="14" customHeight="1" x14ac:dyDescent="0.2">
      <c r="A871" t="s">
        <v>2744</v>
      </c>
      <c r="B871" t="s">
        <v>2744</v>
      </c>
      <c r="C871" t="s">
        <v>3206</v>
      </c>
      <c r="D871" t="s">
        <v>4182</v>
      </c>
      <c r="E871" t="s">
        <v>1667</v>
      </c>
      <c r="F871" t="s">
        <v>5734</v>
      </c>
      <c r="G871" t="s">
        <v>1668</v>
      </c>
      <c r="H871" t="s">
        <v>5735</v>
      </c>
    </row>
    <row r="872" spans="1:8" ht="14" customHeight="1" x14ac:dyDescent="0.2">
      <c r="A872" t="s">
        <v>2745</v>
      </c>
      <c r="B872" t="s">
        <v>3789</v>
      </c>
      <c r="E872" t="s">
        <v>1669</v>
      </c>
      <c r="F872" t="s">
        <v>5736</v>
      </c>
      <c r="G872" t="s">
        <v>1670</v>
      </c>
      <c r="H872" t="s">
        <v>5737</v>
      </c>
    </row>
    <row r="873" spans="1:8" ht="14" customHeight="1" x14ac:dyDescent="0.2">
      <c r="A873" t="s">
        <v>2746</v>
      </c>
      <c r="B873" t="s">
        <v>2746</v>
      </c>
      <c r="E873" t="s">
        <v>1671</v>
      </c>
      <c r="F873" t="s">
        <v>5738</v>
      </c>
      <c r="G873" t="s">
        <v>1672</v>
      </c>
      <c r="H873" t="s">
        <v>5739</v>
      </c>
    </row>
    <row r="874" spans="1:8" ht="14" customHeight="1" x14ac:dyDescent="0.2">
      <c r="A874" t="s">
        <v>2747</v>
      </c>
      <c r="B874" t="s">
        <v>2747</v>
      </c>
      <c r="E874" t="e">
        <f>-Good health Benefits
-monday-friday
-beautiful community and town</f>
        <v>#NAME?</v>
      </c>
      <c r="F874" t="s">
        <v>5740</v>
      </c>
      <c r="G874" s="1" t="s">
        <v>1673</v>
      </c>
      <c r="H874" t="s">
        <v>5741</v>
      </c>
    </row>
    <row r="875" spans="1:8" ht="14" customHeight="1" x14ac:dyDescent="0.2">
      <c r="A875" t="s">
        <v>2748</v>
      </c>
      <c r="B875" t="s">
        <v>3790</v>
      </c>
      <c r="C875" t="s">
        <v>3207</v>
      </c>
      <c r="D875" t="s">
        <v>4101</v>
      </c>
      <c r="E875" t="s">
        <v>1674</v>
      </c>
      <c r="F875" t="s">
        <v>5742</v>
      </c>
      <c r="G875" t="s">
        <v>1675</v>
      </c>
      <c r="H875" t="s">
        <v>5743</v>
      </c>
    </row>
    <row r="876" spans="1:8" ht="14" customHeight="1" x14ac:dyDescent="0.2">
      <c r="A876" t="s">
        <v>2749</v>
      </c>
      <c r="B876" t="s">
        <v>3791</v>
      </c>
      <c r="C876" t="s">
        <v>3208</v>
      </c>
      <c r="D876" t="s">
        <v>4183</v>
      </c>
      <c r="E876" t="s">
        <v>1676</v>
      </c>
      <c r="F876" t="s">
        <v>5744</v>
      </c>
      <c r="G876" t="s">
        <v>1677</v>
      </c>
      <c r="H876" t="s">
        <v>5745</v>
      </c>
    </row>
    <row r="877" spans="1:8" ht="14" customHeight="1" x14ac:dyDescent="0.2">
      <c r="A877" t="s">
        <v>2750</v>
      </c>
      <c r="B877" t="s">
        <v>3792</v>
      </c>
      <c r="E877" s="1" t="s">
        <v>1678</v>
      </c>
      <c r="F877" t="s">
        <v>5746</v>
      </c>
      <c r="G877" s="1" t="s">
        <v>1679</v>
      </c>
      <c r="H877" t="s">
        <v>5747</v>
      </c>
    </row>
    <row r="878" spans="1:8" ht="14" customHeight="1" x14ac:dyDescent="0.2">
      <c r="A878" t="s">
        <v>2751</v>
      </c>
      <c r="B878" t="s">
        <v>3793</v>
      </c>
      <c r="E878" t="s">
        <v>1680</v>
      </c>
      <c r="F878" t="s">
        <v>5748</v>
      </c>
      <c r="G878" t="s">
        <v>1681</v>
      </c>
      <c r="H878" t="s">
        <v>5749</v>
      </c>
    </row>
    <row r="879" spans="1:8" ht="14" customHeight="1" x14ac:dyDescent="0.2">
      <c r="A879" t="s">
        <v>2752</v>
      </c>
      <c r="B879" t="s">
        <v>3794</v>
      </c>
      <c r="E879" t="e">
        <f>- Good people
- Decent amount of time off
- great remote work policy (even before Covid)</f>
        <v>#NAME?</v>
      </c>
      <c r="F879" t="s">
        <v>5750</v>
      </c>
      <c r="G879" s="1" t="s">
        <v>1682</v>
      </c>
      <c r="H879" t="s">
        <v>5751</v>
      </c>
    </row>
    <row r="880" spans="1:8" ht="14" customHeight="1" x14ac:dyDescent="0.2">
      <c r="A880" t="s">
        <v>2753</v>
      </c>
      <c r="B880" t="s">
        <v>3795</v>
      </c>
      <c r="C880" t="s">
        <v>3209</v>
      </c>
      <c r="D880" t="s">
        <v>4184</v>
      </c>
      <c r="E880" t="s">
        <v>1683</v>
      </c>
      <c r="F880" t="s">
        <v>5752</v>
      </c>
      <c r="G880" t="s">
        <v>1684</v>
      </c>
      <c r="H880" t="s">
        <v>5753</v>
      </c>
    </row>
    <row r="881" spans="1:8" ht="14" customHeight="1" x14ac:dyDescent="0.2">
      <c r="A881" t="s">
        <v>2754</v>
      </c>
      <c r="B881" t="s">
        <v>2754</v>
      </c>
      <c r="C881" t="s">
        <v>3210</v>
      </c>
      <c r="D881" t="s">
        <v>3210</v>
      </c>
      <c r="E881" t="s">
        <v>1685</v>
      </c>
      <c r="F881" t="s">
        <v>5754</v>
      </c>
      <c r="G881" t="s">
        <v>1686</v>
      </c>
      <c r="H881" t="s">
        <v>5755</v>
      </c>
    </row>
    <row r="882" spans="1:8" ht="14" customHeight="1" x14ac:dyDescent="0.2">
      <c r="A882" t="s">
        <v>2755</v>
      </c>
      <c r="B882" t="s">
        <v>3796</v>
      </c>
      <c r="E882" s="1" t="s">
        <v>1687</v>
      </c>
      <c r="F882" t="s">
        <v>5756</v>
      </c>
      <c r="G882" s="1" t="s">
        <v>1688</v>
      </c>
      <c r="H882" t="s">
        <v>5757</v>
      </c>
    </row>
    <row r="883" spans="1:8" ht="14" customHeight="1" x14ac:dyDescent="0.2">
      <c r="A883" t="s">
        <v>2756</v>
      </c>
      <c r="B883" t="s">
        <v>3797</v>
      </c>
      <c r="E883" t="s">
        <v>1689</v>
      </c>
      <c r="G883" t="s">
        <v>1690</v>
      </c>
      <c r="H883" t="s">
        <v>5758</v>
      </c>
    </row>
    <row r="884" spans="1:8" ht="14" customHeight="1" x14ac:dyDescent="0.2">
      <c r="A884" t="s">
        <v>2757</v>
      </c>
      <c r="B884" t="s">
        <v>3798</v>
      </c>
      <c r="E884" t="s">
        <v>1691</v>
      </c>
      <c r="F884" t="s">
        <v>1691</v>
      </c>
      <c r="G884" s="1" t="s">
        <v>1692</v>
      </c>
      <c r="H884" t="s">
        <v>5759</v>
      </c>
    </row>
    <row r="885" spans="1:8" ht="14" customHeight="1" x14ac:dyDescent="0.2">
      <c r="A885" t="s">
        <v>2758</v>
      </c>
      <c r="B885" t="s">
        <v>3799</v>
      </c>
      <c r="E885" s="1" t="s">
        <v>1693</v>
      </c>
      <c r="F885" t="s">
        <v>5760</v>
      </c>
      <c r="G885" s="1" t="s">
        <v>1694</v>
      </c>
      <c r="H885" t="s">
        <v>5761</v>
      </c>
    </row>
    <row r="886" spans="1:8" ht="14" customHeight="1" x14ac:dyDescent="0.2">
      <c r="A886" t="s">
        <v>2759</v>
      </c>
      <c r="B886" t="s">
        <v>2759</v>
      </c>
      <c r="E886" t="s">
        <v>1695</v>
      </c>
      <c r="G886" t="s">
        <v>1696</v>
      </c>
      <c r="H886" t="s">
        <v>5762</v>
      </c>
    </row>
    <row r="887" spans="1:8" ht="14" customHeight="1" x14ac:dyDescent="0.2">
      <c r="A887" t="s">
        <v>2760</v>
      </c>
      <c r="B887" t="s">
        <v>3800</v>
      </c>
      <c r="E887" s="1" t="s">
        <v>1697</v>
      </c>
      <c r="F887" t="s">
        <v>5763</v>
      </c>
      <c r="G887" t="s">
        <v>1698</v>
      </c>
      <c r="H887" t="s">
        <v>5764</v>
      </c>
    </row>
    <row r="888" spans="1:8" ht="14" customHeight="1" x14ac:dyDescent="0.2">
      <c r="A888" t="s">
        <v>2761</v>
      </c>
      <c r="B888" t="s">
        <v>3801</v>
      </c>
      <c r="E888" t="s">
        <v>1699</v>
      </c>
      <c r="F888" t="s">
        <v>5765</v>
      </c>
      <c r="G888" t="s">
        <v>1700</v>
      </c>
      <c r="H888" t="s">
        <v>5766</v>
      </c>
    </row>
    <row r="889" spans="1:8" ht="14" customHeight="1" x14ac:dyDescent="0.2">
      <c r="A889" t="s">
        <v>2762</v>
      </c>
      <c r="B889" t="s">
        <v>3802</v>
      </c>
      <c r="E889" t="s">
        <v>1701</v>
      </c>
      <c r="F889" t="s">
        <v>5767</v>
      </c>
      <c r="G889" s="1" t="s">
        <v>1702</v>
      </c>
      <c r="H889" t="s">
        <v>5768</v>
      </c>
    </row>
    <row r="890" spans="1:8" ht="14" customHeight="1" x14ac:dyDescent="0.2">
      <c r="A890" t="s">
        <v>2763</v>
      </c>
      <c r="B890" t="s">
        <v>3803</v>
      </c>
      <c r="E890" s="1" t="s">
        <v>1703</v>
      </c>
      <c r="F890" t="s">
        <v>5769</v>
      </c>
      <c r="G890" s="1" t="s">
        <v>1704</v>
      </c>
      <c r="H890" t="s">
        <v>5770</v>
      </c>
    </row>
    <row r="891" spans="1:8" ht="14" customHeight="1" x14ac:dyDescent="0.2">
      <c r="A891" t="s">
        <v>2139</v>
      </c>
      <c r="B891" t="s">
        <v>3341</v>
      </c>
      <c r="E891" s="1" t="s">
        <v>1705</v>
      </c>
      <c r="F891" t="s">
        <v>5771</v>
      </c>
      <c r="G891" s="1" t="s">
        <v>1706</v>
      </c>
      <c r="H891" t="s">
        <v>5772</v>
      </c>
    </row>
    <row r="892" spans="1:8" ht="14" customHeight="1" x14ac:dyDescent="0.2">
      <c r="A892" t="s">
        <v>2764</v>
      </c>
      <c r="B892" t="s">
        <v>3804</v>
      </c>
      <c r="E892" t="s">
        <v>1707</v>
      </c>
      <c r="F892" t="s">
        <v>5773</v>
      </c>
      <c r="G892" t="s">
        <v>1708</v>
      </c>
      <c r="H892" t="s">
        <v>5774</v>
      </c>
    </row>
    <row r="893" spans="1:8" ht="14" customHeight="1" x14ac:dyDescent="0.2">
      <c r="A893" t="s">
        <v>2765</v>
      </c>
      <c r="B893" t="s">
        <v>3805</v>
      </c>
      <c r="E893" t="e">
        <f>-- great name For your resume
-- Interesting fringe Benefits (travel stipend, as an example)
-- hired nice people</f>
        <v>#NAME?</v>
      </c>
      <c r="F893" t="s">
        <v>5775</v>
      </c>
      <c r="G893" s="1" t="s">
        <v>1709</v>
      </c>
      <c r="H893" t="s">
        <v>5776</v>
      </c>
    </row>
    <row r="894" spans="1:8" ht="14" customHeight="1" x14ac:dyDescent="0.2">
      <c r="A894" t="s">
        <v>2766</v>
      </c>
      <c r="B894" t="s">
        <v>3806</v>
      </c>
      <c r="E894" t="s">
        <v>1710</v>
      </c>
      <c r="F894" t="s">
        <v>5777</v>
      </c>
      <c r="G894" t="s">
        <v>1711</v>
      </c>
      <c r="H894" t="s">
        <v>5778</v>
      </c>
    </row>
    <row r="895" spans="1:8" ht="14" customHeight="1" x14ac:dyDescent="0.2">
      <c r="A895" t="s">
        <v>2767</v>
      </c>
      <c r="B895" t="s">
        <v>3807</v>
      </c>
      <c r="E895" t="s">
        <v>1712</v>
      </c>
      <c r="F895" t="s">
        <v>5779</v>
      </c>
      <c r="G895" t="s">
        <v>1713</v>
      </c>
      <c r="H895" t="s">
        <v>5780</v>
      </c>
    </row>
    <row r="896" spans="1:8" ht="14" customHeight="1" x14ac:dyDescent="0.2">
      <c r="A896" t="s">
        <v>2768</v>
      </c>
      <c r="B896" t="s">
        <v>3808</v>
      </c>
      <c r="E896" t="s">
        <v>1714</v>
      </c>
      <c r="F896" t="s">
        <v>5781</v>
      </c>
      <c r="G896" t="s">
        <v>1715</v>
      </c>
      <c r="H896" t="s">
        <v>5782</v>
      </c>
    </row>
    <row r="897" spans="1:8" ht="14" customHeight="1" x14ac:dyDescent="0.2">
      <c r="A897" t="s">
        <v>2769</v>
      </c>
      <c r="B897" t="s">
        <v>3809</v>
      </c>
      <c r="E897" t="s">
        <v>1716</v>
      </c>
      <c r="F897" t="s">
        <v>5783</v>
      </c>
      <c r="G897" t="s">
        <v>1717</v>
      </c>
    </row>
    <row r="898" spans="1:8" ht="14" customHeight="1" x14ac:dyDescent="0.2">
      <c r="A898" t="s">
        <v>2253</v>
      </c>
      <c r="B898" t="s">
        <v>2253</v>
      </c>
      <c r="C898" t="s">
        <v>3211</v>
      </c>
      <c r="D898" t="s">
        <v>3211</v>
      </c>
      <c r="E898" t="s">
        <v>1718</v>
      </c>
      <c r="F898" t="s">
        <v>5784</v>
      </c>
      <c r="G898" t="s">
        <v>1719</v>
      </c>
      <c r="H898" t="s">
        <v>5785</v>
      </c>
    </row>
    <row r="899" spans="1:8" ht="14" customHeight="1" x14ac:dyDescent="0.2">
      <c r="A899" t="s">
        <v>2571</v>
      </c>
      <c r="B899" t="s">
        <v>3810</v>
      </c>
      <c r="C899" t="s">
        <v>3212</v>
      </c>
      <c r="D899" t="s">
        <v>4185</v>
      </c>
      <c r="E899" t="s">
        <v>1720</v>
      </c>
      <c r="G899" t="s">
        <v>1721</v>
      </c>
      <c r="H899" t="s">
        <v>5786</v>
      </c>
    </row>
    <row r="900" spans="1:8" ht="14" customHeight="1" x14ac:dyDescent="0.2">
      <c r="A900" t="s">
        <v>2770</v>
      </c>
      <c r="B900" t="s">
        <v>3811</v>
      </c>
      <c r="E900" s="1" t="s">
        <v>1722</v>
      </c>
      <c r="F900" t="s">
        <v>5787</v>
      </c>
      <c r="G900" t="s">
        <v>1723</v>
      </c>
      <c r="H900" t="s">
        <v>5788</v>
      </c>
    </row>
    <row r="901" spans="1:8" ht="14" customHeight="1" x14ac:dyDescent="0.2">
      <c r="A901" t="s">
        <v>2771</v>
      </c>
      <c r="B901" t="s">
        <v>3812</v>
      </c>
      <c r="E901" t="s">
        <v>1724</v>
      </c>
      <c r="F901" t="s">
        <v>5789</v>
      </c>
      <c r="G901" t="s">
        <v>1725</v>
      </c>
      <c r="H901" t="s">
        <v>5790</v>
      </c>
    </row>
    <row r="902" spans="1:8" ht="14" customHeight="1" x14ac:dyDescent="0.2">
      <c r="A902" t="s">
        <v>2772</v>
      </c>
      <c r="B902" t="s">
        <v>3813</v>
      </c>
      <c r="E902" s="1" t="s">
        <v>1726</v>
      </c>
      <c r="F902" t="s">
        <v>5791</v>
      </c>
      <c r="G902" s="1" t="s">
        <v>1727</v>
      </c>
      <c r="H902" t="s">
        <v>5792</v>
      </c>
    </row>
    <row r="903" spans="1:8" ht="14" customHeight="1" x14ac:dyDescent="0.2">
      <c r="A903" t="s">
        <v>2773</v>
      </c>
      <c r="B903" t="s">
        <v>3814</v>
      </c>
      <c r="E903" t="s">
        <v>1728</v>
      </c>
      <c r="F903" t="s">
        <v>5793</v>
      </c>
      <c r="G903" t="s">
        <v>1729</v>
      </c>
      <c r="H903" t="s">
        <v>5794</v>
      </c>
    </row>
    <row r="904" spans="1:8" ht="14" customHeight="1" x14ac:dyDescent="0.2">
      <c r="A904" t="s">
        <v>2774</v>
      </c>
      <c r="B904" t="s">
        <v>3815</v>
      </c>
      <c r="E904" t="s">
        <v>1730</v>
      </c>
      <c r="F904" t="s">
        <v>5795</v>
      </c>
      <c r="G904" s="1" t="s">
        <v>1731</v>
      </c>
      <c r="H904" t="s">
        <v>5796</v>
      </c>
    </row>
    <row r="905" spans="1:8" ht="14" customHeight="1" x14ac:dyDescent="0.2">
      <c r="A905" t="s">
        <v>2775</v>
      </c>
      <c r="B905" t="s">
        <v>3816</v>
      </c>
      <c r="E905" t="s">
        <v>1732</v>
      </c>
      <c r="F905" t="s">
        <v>5797</v>
      </c>
      <c r="G905" t="s">
        <v>1733</v>
      </c>
      <c r="H905" t="s">
        <v>5798</v>
      </c>
    </row>
    <row r="906" spans="1:8" ht="14" customHeight="1" x14ac:dyDescent="0.2">
      <c r="A906" t="s">
        <v>2776</v>
      </c>
      <c r="B906" t="s">
        <v>3817</v>
      </c>
      <c r="E906" t="s">
        <v>1734</v>
      </c>
      <c r="F906" t="s">
        <v>5799</v>
      </c>
      <c r="G906" t="s">
        <v>1735</v>
      </c>
      <c r="H906" t="s">
        <v>5800</v>
      </c>
    </row>
    <row r="907" spans="1:8" ht="14" customHeight="1" x14ac:dyDescent="0.2">
      <c r="A907" t="s">
        <v>2777</v>
      </c>
      <c r="B907" t="s">
        <v>3818</v>
      </c>
      <c r="E907" t="s">
        <v>1736</v>
      </c>
      <c r="F907" t="s">
        <v>5801</v>
      </c>
      <c r="G907" t="s">
        <v>1737</v>
      </c>
      <c r="H907" t="s">
        <v>5802</v>
      </c>
    </row>
    <row r="908" spans="1:8" ht="14" customHeight="1" x14ac:dyDescent="0.2">
      <c r="A908" t="s">
        <v>2778</v>
      </c>
      <c r="B908" t="s">
        <v>3819</v>
      </c>
      <c r="E908" t="s">
        <v>1738</v>
      </c>
      <c r="F908" t="s">
        <v>5803</v>
      </c>
      <c r="G908" s="1" t="s">
        <v>1739</v>
      </c>
      <c r="H908" t="s">
        <v>5804</v>
      </c>
    </row>
    <row r="909" spans="1:8" ht="14" customHeight="1" x14ac:dyDescent="0.2">
      <c r="A909" t="s">
        <v>2779</v>
      </c>
      <c r="B909" t="s">
        <v>3820</v>
      </c>
      <c r="E909" s="1" t="s">
        <v>1740</v>
      </c>
      <c r="F909" t="s">
        <v>5805</v>
      </c>
      <c r="G909" t="s">
        <v>1741</v>
      </c>
      <c r="H909" t="s">
        <v>5806</v>
      </c>
    </row>
    <row r="910" spans="1:8" ht="14" customHeight="1" x14ac:dyDescent="0.2">
      <c r="A910" t="s">
        <v>2780</v>
      </c>
      <c r="B910" t="s">
        <v>3821</v>
      </c>
      <c r="E910" t="s">
        <v>1742</v>
      </c>
      <c r="F910" t="s">
        <v>5807</v>
      </c>
      <c r="G910" t="s">
        <v>1743</v>
      </c>
      <c r="H910" t="s">
        <v>5808</v>
      </c>
    </row>
    <row r="911" spans="1:8" ht="14" customHeight="1" x14ac:dyDescent="0.2">
      <c r="A911" t="s">
        <v>2125</v>
      </c>
      <c r="B911" t="s">
        <v>3272</v>
      </c>
      <c r="E911" t="s">
        <v>1744</v>
      </c>
      <c r="F911" t="s">
        <v>5809</v>
      </c>
      <c r="G911" t="s">
        <v>1745</v>
      </c>
      <c r="H911" t="s">
        <v>5810</v>
      </c>
    </row>
    <row r="912" spans="1:8" ht="14" customHeight="1" x14ac:dyDescent="0.2">
      <c r="A912" t="s">
        <v>2287</v>
      </c>
      <c r="B912" t="s">
        <v>3822</v>
      </c>
      <c r="E912" t="s">
        <v>1746</v>
      </c>
      <c r="F912" t="s">
        <v>5811</v>
      </c>
      <c r="G912" t="s">
        <v>1747</v>
      </c>
      <c r="H912" t="s">
        <v>5812</v>
      </c>
    </row>
    <row r="913" spans="1:8" ht="14" customHeight="1" x14ac:dyDescent="0.2">
      <c r="A913" t="s">
        <v>2781</v>
      </c>
      <c r="B913" t="s">
        <v>3823</v>
      </c>
      <c r="E913" t="s">
        <v>1748</v>
      </c>
      <c r="F913" t="s">
        <v>5813</v>
      </c>
      <c r="G913" t="s">
        <v>1749</v>
      </c>
      <c r="H913" t="s">
        <v>5814</v>
      </c>
    </row>
    <row r="914" spans="1:8" ht="14" customHeight="1" x14ac:dyDescent="0.2">
      <c r="A914" t="s">
        <v>2782</v>
      </c>
      <c r="B914" t="s">
        <v>2782</v>
      </c>
      <c r="C914" s="1" t="s">
        <v>3213</v>
      </c>
      <c r="D914" s="1" t="s">
        <v>3213</v>
      </c>
      <c r="F914" t="s">
        <v>1750</v>
      </c>
      <c r="G914" s="1" t="s">
        <v>1751</v>
      </c>
      <c r="H914" s="1" t="s">
        <v>1751</v>
      </c>
    </row>
    <row r="915" spans="1:8" ht="14" customHeight="1" x14ac:dyDescent="0.2">
      <c r="A915" t="s">
        <v>2783</v>
      </c>
      <c r="B915" t="s">
        <v>3824</v>
      </c>
      <c r="E915" t="s">
        <v>1752</v>
      </c>
      <c r="F915" t="s">
        <v>5815</v>
      </c>
      <c r="G915" t="s">
        <v>1753</v>
      </c>
      <c r="H915" t="s">
        <v>5816</v>
      </c>
    </row>
    <row r="916" spans="1:8" ht="14" customHeight="1" x14ac:dyDescent="0.2">
      <c r="A916" t="s">
        <v>2784</v>
      </c>
      <c r="B916" t="s">
        <v>3825</v>
      </c>
      <c r="E916" t="s">
        <v>1754</v>
      </c>
      <c r="F916" t="s">
        <v>1754</v>
      </c>
      <c r="G916" t="s">
        <v>1755</v>
      </c>
      <c r="H916" t="s">
        <v>5817</v>
      </c>
    </row>
    <row r="917" spans="1:8" ht="14" customHeight="1" x14ac:dyDescent="0.2">
      <c r="A917" t="s">
        <v>2785</v>
      </c>
      <c r="B917" t="s">
        <v>3826</v>
      </c>
      <c r="E917" t="s">
        <v>1756</v>
      </c>
      <c r="F917" t="s">
        <v>5818</v>
      </c>
      <c r="G917" t="s">
        <v>1757</v>
      </c>
      <c r="H917" t="s">
        <v>5819</v>
      </c>
    </row>
    <row r="918" spans="1:8" ht="14" customHeight="1" x14ac:dyDescent="0.2">
      <c r="A918" t="s">
        <v>2786</v>
      </c>
      <c r="B918" t="s">
        <v>3827</v>
      </c>
      <c r="E918" s="1" t="s">
        <v>1758</v>
      </c>
      <c r="F918" t="s">
        <v>5820</v>
      </c>
      <c r="G918" s="1" t="s">
        <v>1759</v>
      </c>
      <c r="H918" t="s">
        <v>5821</v>
      </c>
    </row>
    <row r="919" spans="1:8" ht="14" customHeight="1" x14ac:dyDescent="0.2">
      <c r="A919" t="s">
        <v>2787</v>
      </c>
      <c r="B919" t="s">
        <v>3828</v>
      </c>
      <c r="E919" s="1" t="s">
        <v>1760</v>
      </c>
      <c r="F919" t="s">
        <v>5822</v>
      </c>
      <c r="G919" s="1" t="s">
        <v>1761</v>
      </c>
      <c r="H919" t="s">
        <v>5823</v>
      </c>
    </row>
    <row r="920" spans="1:8" ht="14" customHeight="1" x14ac:dyDescent="0.2">
      <c r="A920" t="s">
        <v>2172</v>
      </c>
      <c r="B920" t="s">
        <v>3806</v>
      </c>
      <c r="E920" t="s">
        <v>1762</v>
      </c>
      <c r="G920" t="s">
        <v>1763</v>
      </c>
      <c r="H920" t="s">
        <v>5824</v>
      </c>
    </row>
    <row r="921" spans="1:8" ht="14" customHeight="1" x14ac:dyDescent="0.2">
      <c r="A921" t="s">
        <v>2788</v>
      </c>
      <c r="B921" t="s">
        <v>3829</v>
      </c>
      <c r="E921" t="s">
        <v>1764</v>
      </c>
      <c r="F921" t="s">
        <v>5825</v>
      </c>
      <c r="G921" t="s">
        <v>1765</v>
      </c>
      <c r="H921" t="s">
        <v>5826</v>
      </c>
    </row>
    <row r="922" spans="1:8" ht="14" customHeight="1" x14ac:dyDescent="0.2">
      <c r="A922" t="s">
        <v>2789</v>
      </c>
      <c r="B922" t="s">
        <v>3830</v>
      </c>
      <c r="E922" t="s">
        <v>1766</v>
      </c>
      <c r="F922" t="s">
        <v>5827</v>
      </c>
      <c r="G922" s="1" t="s">
        <v>1767</v>
      </c>
      <c r="H922" t="s">
        <v>5828</v>
      </c>
    </row>
    <row r="923" spans="1:8" ht="14" customHeight="1" x14ac:dyDescent="0.2">
      <c r="A923" t="s">
        <v>2790</v>
      </c>
      <c r="B923" t="s">
        <v>3831</v>
      </c>
      <c r="E923" t="s">
        <v>1768</v>
      </c>
      <c r="F923" t="s">
        <v>5829</v>
      </c>
      <c r="G923" t="s">
        <v>1769</v>
      </c>
      <c r="H923" t="s">
        <v>5830</v>
      </c>
    </row>
    <row r="924" spans="1:8" ht="14" customHeight="1" x14ac:dyDescent="0.2">
      <c r="A924" t="s">
        <v>2791</v>
      </c>
      <c r="B924" t="s">
        <v>3832</v>
      </c>
      <c r="E924" t="s">
        <v>1770</v>
      </c>
      <c r="F924" t="s">
        <v>1770</v>
      </c>
      <c r="G924" t="e">
        <f>-No work life balance, always rushing to complete projects on unrealistic timelines, very reactive not proactive.
-outdated technology, product development Systems and Communication tools, way Too many emails and duplicative work.
-CEO is involved in Everything, only leadership opinion matters.
-Attitudes are very Poor, especially from leadership, very negative and not solution orientated.  leaders will argue with each other in group meetings.
-Unpleasant culture, not forward thinking, strategic or looking For ways to improve.
-Sourcing and overseas vendors do not support the customers needs and on trend Development.  this involves presenting ideas to customers that are old or not fully developed, tested or executed, resulting in reactionary steps on the Back end.
-Domestic QA is a joke, not sure what they do, always complain, not helpful in finding solutions or proactive planning.
-the corporate office is unique but outdated, invest in the right organizational tools, storage, workrooms, offices, gathering spaces and technology to support a team that must go into the office.</f>
        <v>#NAME?</v>
      </c>
      <c r="H924" t="s">
        <v>5831</v>
      </c>
    </row>
    <row r="925" spans="1:8" ht="14" customHeight="1" x14ac:dyDescent="0.2">
      <c r="A925" t="s">
        <v>2792</v>
      </c>
      <c r="B925" t="s">
        <v>3833</v>
      </c>
      <c r="C925" t="s">
        <v>3214</v>
      </c>
      <c r="E925" t="s">
        <v>1771</v>
      </c>
      <c r="F925" t="s">
        <v>5832</v>
      </c>
      <c r="G925" t="s">
        <v>1772</v>
      </c>
      <c r="H925" t="s">
        <v>5833</v>
      </c>
    </row>
    <row r="926" spans="1:8" ht="14" customHeight="1" x14ac:dyDescent="0.2">
      <c r="A926" t="s">
        <v>2793</v>
      </c>
      <c r="B926" t="s">
        <v>3424</v>
      </c>
      <c r="E926" s="1" t="s">
        <v>1773</v>
      </c>
      <c r="F926" t="s">
        <v>5834</v>
      </c>
      <c r="G926" t="s">
        <v>1774</v>
      </c>
    </row>
    <row r="927" spans="1:8" ht="14" customHeight="1" x14ac:dyDescent="0.2">
      <c r="A927" t="s">
        <v>2794</v>
      </c>
      <c r="B927" t="s">
        <v>3834</v>
      </c>
      <c r="E927" s="1" t="s">
        <v>1775</v>
      </c>
      <c r="F927" t="s">
        <v>5835</v>
      </c>
      <c r="G927" s="1" t="s">
        <v>1776</v>
      </c>
      <c r="H927" t="s">
        <v>5836</v>
      </c>
    </row>
    <row r="928" spans="1:8" ht="14" customHeight="1" x14ac:dyDescent="0.2">
      <c r="A928" t="s">
        <v>2795</v>
      </c>
      <c r="B928" t="s">
        <v>3835</v>
      </c>
      <c r="C928" t="s">
        <v>3215</v>
      </c>
      <c r="D928" t="s">
        <v>3215</v>
      </c>
      <c r="E928" t="s">
        <v>1777</v>
      </c>
      <c r="F928" t="s">
        <v>5837</v>
      </c>
      <c r="G928" t="s">
        <v>1778</v>
      </c>
      <c r="H928" t="s">
        <v>5838</v>
      </c>
    </row>
    <row r="929" spans="1:8" ht="14" customHeight="1" x14ac:dyDescent="0.2">
      <c r="A929" t="s">
        <v>2796</v>
      </c>
      <c r="B929" t="s">
        <v>3836</v>
      </c>
      <c r="E929" t="s">
        <v>1779</v>
      </c>
      <c r="F929" t="s">
        <v>5839</v>
      </c>
      <c r="G929" t="s">
        <v>1780</v>
      </c>
      <c r="H929" t="s">
        <v>5840</v>
      </c>
    </row>
    <row r="930" spans="1:8" ht="14" customHeight="1" x14ac:dyDescent="0.2">
      <c r="A930" t="s">
        <v>2797</v>
      </c>
      <c r="B930" t="s">
        <v>3837</v>
      </c>
      <c r="E930" t="s">
        <v>1781</v>
      </c>
      <c r="F930" t="s">
        <v>5841</v>
      </c>
      <c r="G930" t="s">
        <v>1782</v>
      </c>
      <c r="H930" t="s">
        <v>1782</v>
      </c>
    </row>
    <row r="931" spans="1:8" ht="14" customHeight="1" x14ac:dyDescent="0.2">
      <c r="A931" t="s">
        <v>2798</v>
      </c>
      <c r="B931" t="s">
        <v>3838</v>
      </c>
      <c r="E931" s="1" t="s">
        <v>1783</v>
      </c>
      <c r="F931" t="s">
        <v>5842</v>
      </c>
      <c r="G931" s="1" t="s">
        <v>1784</v>
      </c>
      <c r="H931" t="s">
        <v>5843</v>
      </c>
    </row>
    <row r="932" spans="1:8" ht="14" customHeight="1" x14ac:dyDescent="0.2">
      <c r="A932" t="s">
        <v>2799</v>
      </c>
      <c r="B932" t="s">
        <v>3839</v>
      </c>
      <c r="E932" t="s">
        <v>1785</v>
      </c>
      <c r="F932" t="s">
        <v>5844</v>
      </c>
      <c r="G932" t="s">
        <v>1786</v>
      </c>
      <c r="H932" t="s">
        <v>5845</v>
      </c>
    </row>
    <row r="933" spans="1:8" ht="14" customHeight="1" x14ac:dyDescent="0.2">
      <c r="A933" t="s">
        <v>2800</v>
      </c>
      <c r="B933" t="s">
        <v>3840</v>
      </c>
      <c r="E933" t="s">
        <v>1787</v>
      </c>
      <c r="F933" t="s">
        <v>5846</v>
      </c>
      <c r="G933" s="1" t="s">
        <v>1788</v>
      </c>
      <c r="H933" t="s">
        <v>5847</v>
      </c>
    </row>
    <row r="934" spans="1:8" ht="14" customHeight="1" x14ac:dyDescent="0.2">
      <c r="A934" t="s">
        <v>2801</v>
      </c>
      <c r="B934" t="s">
        <v>3841</v>
      </c>
      <c r="C934" t="s">
        <v>3216</v>
      </c>
      <c r="D934" t="s">
        <v>4186</v>
      </c>
      <c r="E934" t="s">
        <v>1789</v>
      </c>
      <c r="F934" t="s">
        <v>5848</v>
      </c>
      <c r="G934" t="s">
        <v>1790</v>
      </c>
      <c r="H934" t="s">
        <v>5849</v>
      </c>
    </row>
    <row r="935" spans="1:8" ht="14" customHeight="1" x14ac:dyDescent="0.2">
      <c r="A935" t="s">
        <v>2802</v>
      </c>
      <c r="B935" t="s">
        <v>3842</v>
      </c>
      <c r="E935" t="s">
        <v>1791</v>
      </c>
      <c r="F935" t="s">
        <v>1791</v>
      </c>
      <c r="G935" t="s">
        <v>1792</v>
      </c>
      <c r="H935" t="s">
        <v>1792</v>
      </c>
    </row>
    <row r="936" spans="1:8" ht="14" customHeight="1" x14ac:dyDescent="0.2">
      <c r="A936" t="s">
        <v>2188</v>
      </c>
      <c r="B936" t="s">
        <v>3843</v>
      </c>
      <c r="E936" t="s">
        <v>1793</v>
      </c>
      <c r="F936" t="s">
        <v>5850</v>
      </c>
      <c r="G936" t="s">
        <v>1794</v>
      </c>
      <c r="H936" t="s">
        <v>5851</v>
      </c>
    </row>
    <row r="937" spans="1:8" ht="14" customHeight="1" x14ac:dyDescent="0.2">
      <c r="A937" t="s">
        <v>2803</v>
      </c>
      <c r="B937" t="s">
        <v>3806</v>
      </c>
      <c r="E937" t="s">
        <v>1795</v>
      </c>
      <c r="F937" t="s">
        <v>1795</v>
      </c>
      <c r="G937" t="s">
        <v>1796</v>
      </c>
      <c r="H937" t="s">
        <v>5852</v>
      </c>
    </row>
    <row r="938" spans="1:8" ht="14" customHeight="1" x14ac:dyDescent="0.2">
      <c r="A938" t="s">
        <v>2804</v>
      </c>
      <c r="B938" t="s">
        <v>3844</v>
      </c>
      <c r="E938" t="s">
        <v>1797</v>
      </c>
      <c r="F938" t="s">
        <v>1797</v>
      </c>
      <c r="G938" t="s">
        <v>1798</v>
      </c>
      <c r="H938" t="s">
        <v>5853</v>
      </c>
    </row>
    <row r="939" spans="1:8" ht="14" customHeight="1" x14ac:dyDescent="0.2">
      <c r="A939" t="s">
        <v>2805</v>
      </c>
      <c r="B939" t="s">
        <v>3845</v>
      </c>
      <c r="E939" t="s">
        <v>1799</v>
      </c>
      <c r="F939" t="s">
        <v>5854</v>
      </c>
      <c r="G939" s="1" t="s">
        <v>1800</v>
      </c>
      <c r="H939" t="s">
        <v>5855</v>
      </c>
    </row>
    <row r="940" spans="1:8" ht="14" customHeight="1" x14ac:dyDescent="0.2">
      <c r="A940" t="s">
        <v>2806</v>
      </c>
      <c r="B940" t="s">
        <v>3846</v>
      </c>
      <c r="E940" t="s">
        <v>1801</v>
      </c>
      <c r="F940" t="s">
        <v>5856</v>
      </c>
      <c r="G940" t="s">
        <v>1802</v>
      </c>
      <c r="H940" t="s">
        <v>5857</v>
      </c>
    </row>
    <row r="941" spans="1:8" ht="14" customHeight="1" x14ac:dyDescent="0.2">
      <c r="A941" t="s">
        <v>2807</v>
      </c>
      <c r="B941" t="s">
        <v>3847</v>
      </c>
      <c r="E941" t="s">
        <v>1803</v>
      </c>
      <c r="F941" t="s">
        <v>1803</v>
      </c>
      <c r="G941" t="s">
        <v>1804</v>
      </c>
      <c r="H941" t="s">
        <v>5858</v>
      </c>
    </row>
    <row r="942" spans="1:8" ht="14" customHeight="1" x14ac:dyDescent="0.2">
      <c r="A942" t="s">
        <v>2808</v>
      </c>
      <c r="B942" t="s">
        <v>3848</v>
      </c>
      <c r="E942" t="s">
        <v>1805</v>
      </c>
      <c r="F942" t="s">
        <v>5859</v>
      </c>
      <c r="G942" t="s">
        <v>1806</v>
      </c>
      <c r="H942" t="s">
        <v>5860</v>
      </c>
    </row>
    <row r="943" spans="1:8" ht="14" customHeight="1" x14ac:dyDescent="0.2">
      <c r="A943" t="s">
        <v>2809</v>
      </c>
      <c r="B943" t="s">
        <v>2809</v>
      </c>
      <c r="E943" t="s">
        <v>1807</v>
      </c>
      <c r="F943" t="s">
        <v>5861</v>
      </c>
      <c r="G943" t="s">
        <v>1808</v>
      </c>
      <c r="H943" t="s">
        <v>5862</v>
      </c>
    </row>
    <row r="944" spans="1:8" ht="14" customHeight="1" x14ac:dyDescent="0.2">
      <c r="A944" t="s">
        <v>2810</v>
      </c>
      <c r="B944" t="s">
        <v>3849</v>
      </c>
      <c r="E944" t="s">
        <v>1809</v>
      </c>
      <c r="F944" t="s">
        <v>5863</v>
      </c>
      <c r="G944" t="s">
        <v>1810</v>
      </c>
      <c r="H944" t="s">
        <v>1810</v>
      </c>
    </row>
    <row r="945" spans="1:8" ht="14" customHeight="1" x14ac:dyDescent="0.2">
      <c r="A945" t="s">
        <v>2811</v>
      </c>
      <c r="B945" t="s">
        <v>3850</v>
      </c>
      <c r="E945" t="s">
        <v>1811</v>
      </c>
      <c r="F945" t="s">
        <v>5864</v>
      </c>
      <c r="G945" t="s">
        <v>1812</v>
      </c>
      <c r="H945" t="s">
        <v>5865</v>
      </c>
    </row>
    <row r="946" spans="1:8" ht="14" customHeight="1" x14ac:dyDescent="0.2">
      <c r="A946" t="s">
        <v>2386</v>
      </c>
      <c r="B946" t="s">
        <v>3350</v>
      </c>
      <c r="E946" t="s">
        <v>1813</v>
      </c>
      <c r="G946" t="s">
        <v>1814</v>
      </c>
      <c r="H946" t="s">
        <v>5866</v>
      </c>
    </row>
    <row r="947" spans="1:8" ht="14" customHeight="1" x14ac:dyDescent="0.2">
      <c r="A947" t="s">
        <v>2812</v>
      </c>
      <c r="B947" t="s">
        <v>3851</v>
      </c>
      <c r="E947" t="s">
        <v>1815</v>
      </c>
      <c r="F947" t="s">
        <v>1815</v>
      </c>
      <c r="G947" t="s">
        <v>1816</v>
      </c>
      <c r="H947" t="s">
        <v>5867</v>
      </c>
    </row>
    <row r="948" spans="1:8" ht="14" customHeight="1" x14ac:dyDescent="0.2">
      <c r="A948" t="s">
        <v>2813</v>
      </c>
      <c r="B948" t="s">
        <v>3852</v>
      </c>
      <c r="E948" t="s">
        <v>1817</v>
      </c>
      <c r="G948" t="s">
        <v>1818</v>
      </c>
      <c r="H948" t="s">
        <v>5868</v>
      </c>
    </row>
    <row r="949" spans="1:8" ht="14" customHeight="1" x14ac:dyDescent="0.2">
      <c r="A949" t="s">
        <v>2814</v>
      </c>
      <c r="B949" t="s">
        <v>3853</v>
      </c>
      <c r="E949" t="s">
        <v>1819</v>
      </c>
      <c r="F949" t="s">
        <v>5869</v>
      </c>
      <c r="G949" s="1" t="s">
        <v>1820</v>
      </c>
      <c r="H949" t="s">
        <v>5870</v>
      </c>
    </row>
    <row r="950" spans="1:8" ht="14" customHeight="1" x14ac:dyDescent="0.2">
      <c r="A950" t="s">
        <v>2524</v>
      </c>
      <c r="B950" t="s">
        <v>3854</v>
      </c>
      <c r="E950" t="s">
        <v>1821</v>
      </c>
      <c r="F950" t="s">
        <v>5871</v>
      </c>
      <c r="G950" t="s">
        <v>1822</v>
      </c>
      <c r="H950" t="s">
        <v>5872</v>
      </c>
    </row>
    <row r="951" spans="1:8" ht="14" customHeight="1" x14ac:dyDescent="0.2">
      <c r="A951" t="s">
        <v>2815</v>
      </c>
      <c r="B951" t="s">
        <v>3855</v>
      </c>
      <c r="E951" t="s">
        <v>1823</v>
      </c>
      <c r="F951" t="s">
        <v>5873</v>
      </c>
      <c r="G951" t="s">
        <v>1824</v>
      </c>
      <c r="H951" t="s">
        <v>5874</v>
      </c>
    </row>
    <row r="952" spans="1:8" ht="14" customHeight="1" x14ac:dyDescent="0.2">
      <c r="A952" t="s">
        <v>2816</v>
      </c>
      <c r="B952" t="s">
        <v>3856</v>
      </c>
      <c r="E952" t="s">
        <v>1825</v>
      </c>
      <c r="G952" t="s">
        <v>1826</v>
      </c>
      <c r="H952" t="s">
        <v>5875</v>
      </c>
    </row>
    <row r="953" spans="1:8" ht="14" customHeight="1" x14ac:dyDescent="0.2">
      <c r="A953" t="s">
        <v>2817</v>
      </c>
      <c r="B953" t="s">
        <v>3857</v>
      </c>
      <c r="E953" s="1" t="s">
        <v>1827</v>
      </c>
      <c r="G953" t="e">
        <f>- the leadership is either Too timid and shy to get things done, or they get in front of company-wide meetings and yell profanities trying to guilt-trip their employees to do better because they have No ownership themselves.
- they will dictate your dress code, how Long you work and will give you No ability to work from home.
- they are a company that focuses on numbers and does not care about their employees.</f>
        <v>#NAME?</v>
      </c>
      <c r="H953" t="s">
        <v>5876</v>
      </c>
    </row>
    <row r="954" spans="1:8" ht="14" customHeight="1" x14ac:dyDescent="0.2">
      <c r="A954" t="s">
        <v>2467</v>
      </c>
      <c r="B954" t="s">
        <v>3598</v>
      </c>
      <c r="E954" s="1" t="s">
        <v>1828</v>
      </c>
      <c r="F954" t="s">
        <v>5877</v>
      </c>
      <c r="G954" t="s">
        <v>1829</v>
      </c>
      <c r="H954" t="s">
        <v>5878</v>
      </c>
    </row>
    <row r="955" spans="1:8" ht="14" customHeight="1" x14ac:dyDescent="0.2">
      <c r="A955" t="s">
        <v>2818</v>
      </c>
      <c r="B955" t="s">
        <v>3858</v>
      </c>
      <c r="E955" t="s">
        <v>1830</v>
      </c>
      <c r="F955" t="s">
        <v>5879</v>
      </c>
      <c r="G955" t="s">
        <v>1831</v>
      </c>
      <c r="H955" t="s">
        <v>5880</v>
      </c>
    </row>
    <row r="956" spans="1:8" ht="14" customHeight="1" x14ac:dyDescent="0.2">
      <c r="A956" t="s">
        <v>2819</v>
      </c>
      <c r="B956" t="s">
        <v>2819</v>
      </c>
      <c r="E956" t="s">
        <v>1832</v>
      </c>
      <c r="F956" t="s">
        <v>5881</v>
      </c>
      <c r="G956" t="s">
        <v>1833</v>
      </c>
      <c r="H956" t="s">
        <v>5882</v>
      </c>
    </row>
    <row r="957" spans="1:8" ht="14" customHeight="1" x14ac:dyDescent="0.2">
      <c r="A957" t="s">
        <v>2820</v>
      </c>
      <c r="B957" t="s">
        <v>2820</v>
      </c>
      <c r="C957" t="s">
        <v>3217</v>
      </c>
      <c r="D957" t="s">
        <v>4187</v>
      </c>
      <c r="E957" t="s">
        <v>1834</v>
      </c>
      <c r="F957" t="s">
        <v>5883</v>
      </c>
      <c r="G957" t="s">
        <v>1835</v>
      </c>
      <c r="H957" t="s">
        <v>5884</v>
      </c>
    </row>
    <row r="958" spans="1:8" ht="14" customHeight="1" x14ac:dyDescent="0.2">
      <c r="A958" t="s">
        <v>2821</v>
      </c>
      <c r="B958" t="s">
        <v>2821</v>
      </c>
      <c r="E958" t="s">
        <v>1836</v>
      </c>
      <c r="F958" t="s">
        <v>5885</v>
      </c>
      <c r="G958" t="s">
        <v>1837</v>
      </c>
      <c r="H958" t="s">
        <v>5886</v>
      </c>
    </row>
    <row r="959" spans="1:8" ht="14" customHeight="1" x14ac:dyDescent="0.2">
      <c r="A959" t="s">
        <v>2822</v>
      </c>
      <c r="B959" t="s">
        <v>2090</v>
      </c>
      <c r="E959" t="s">
        <v>1838</v>
      </c>
      <c r="F959" t="s">
        <v>5887</v>
      </c>
      <c r="G959" t="s">
        <v>1839</v>
      </c>
      <c r="H959" t="s">
        <v>5888</v>
      </c>
    </row>
    <row r="960" spans="1:8" ht="14" customHeight="1" x14ac:dyDescent="0.2">
      <c r="A960" t="s">
        <v>2823</v>
      </c>
      <c r="B960" t="s">
        <v>3859</v>
      </c>
      <c r="E960" t="s">
        <v>1840</v>
      </c>
      <c r="G960" t="s">
        <v>1841</v>
      </c>
      <c r="H960" t="s">
        <v>5889</v>
      </c>
    </row>
    <row r="961" spans="1:8" ht="14" customHeight="1" x14ac:dyDescent="0.2">
      <c r="A961" t="s">
        <v>2824</v>
      </c>
      <c r="B961" t="s">
        <v>3860</v>
      </c>
      <c r="E961" t="s">
        <v>1842</v>
      </c>
      <c r="F961" t="s">
        <v>5890</v>
      </c>
      <c r="G961" t="s">
        <v>1843</v>
      </c>
      <c r="H961" t="s">
        <v>5891</v>
      </c>
    </row>
    <row r="962" spans="1:8" ht="14" customHeight="1" x14ac:dyDescent="0.2">
      <c r="A962" t="s">
        <v>2825</v>
      </c>
      <c r="B962" t="s">
        <v>3861</v>
      </c>
      <c r="E962" t="s">
        <v>1844</v>
      </c>
      <c r="F962" t="s">
        <v>5892</v>
      </c>
      <c r="G962" t="s">
        <v>1845</v>
      </c>
      <c r="H962" t="s">
        <v>5893</v>
      </c>
    </row>
    <row r="963" spans="1:8" ht="14" customHeight="1" x14ac:dyDescent="0.2">
      <c r="A963" t="s">
        <v>2826</v>
      </c>
      <c r="B963" t="s">
        <v>2826</v>
      </c>
      <c r="E963" t="s">
        <v>1846</v>
      </c>
      <c r="F963" t="s">
        <v>5894</v>
      </c>
      <c r="G963" t="s">
        <v>1847</v>
      </c>
      <c r="H963" t="s">
        <v>5895</v>
      </c>
    </row>
    <row r="964" spans="1:8" ht="14" customHeight="1" x14ac:dyDescent="0.2">
      <c r="A964" t="s">
        <v>2827</v>
      </c>
      <c r="B964" t="s">
        <v>3862</v>
      </c>
      <c r="E964" s="1" t="s">
        <v>1848</v>
      </c>
      <c r="F964" t="s">
        <v>5896</v>
      </c>
      <c r="G964" t="s">
        <v>1849</v>
      </c>
      <c r="H964" t="s">
        <v>5897</v>
      </c>
    </row>
    <row r="965" spans="1:8" ht="14" customHeight="1" x14ac:dyDescent="0.2">
      <c r="A965" t="s">
        <v>2828</v>
      </c>
      <c r="B965" t="s">
        <v>3863</v>
      </c>
      <c r="E965" t="s">
        <v>1850</v>
      </c>
      <c r="F965" t="s">
        <v>5898</v>
      </c>
      <c r="G965" t="s">
        <v>1851</v>
      </c>
      <c r="H965" t="s">
        <v>5899</v>
      </c>
    </row>
    <row r="966" spans="1:8" ht="14" customHeight="1" x14ac:dyDescent="0.2">
      <c r="A966" t="s">
        <v>2829</v>
      </c>
      <c r="B966" t="s">
        <v>3864</v>
      </c>
      <c r="C966" t="s">
        <v>3218</v>
      </c>
      <c r="D966" t="s">
        <v>4188</v>
      </c>
      <c r="E966" t="s">
        <v>1852</v>
      </c>
      <c r="G966" t="s">
        <v>1853</v>
      </c>
      <c r="H966" t="s">
        <v>5900</v>
      </c>
    </row>
    <row r="967" spans="1:8" ht="14" customHeight="1" x14ac:dyDescent="0.2">
      <c r="A967" t="s">
        <v>2830</v>
      </c>
      <c r="B967" t="s">
        <v>3865</v>
      </c>
      <c r="E967" t="s">
        <v>1854</v>
      </c>
      <c r="F967" t="s">
        <v>5901</v>
      </c>
      <c r="G967" s="1" t="s">
        <v>1855</v>
      </c>
      <c r="H967" t="s">
        <v>5902</v>
      </c>
    </row>
    <row r="968" spans="1:8" ht="14" customHeight="1" x14ac:dyDescent="0.2">
      <c r="A968" t="s">
        <v>2831</v>
      </c>
      <c r="B968" t="s">
        <v>3866</v>
      </c>
      <c r="E968" t="s">
        <v>1856</v>
      </c>
      <c r="F968" t="s">
        <v>5903</v>
      </c>
      <c r="G968" t="s">
        <v>1857</v>
      </c>
      <c r="H968" t="s">
        <v>5904</v>
      </c>
    </row>
    <row r="969" spans="1:8" ht="14" customHeight="1" x14ac:dyDescent="0.2">
      <c r="A969" t="s">
        <v>2832</v>
      </c>
      <c r="E969" t="s">
        <v>1858</v>
      </c>
      <c r="F969" t="s">
        <v>5905</v>
      </c>
      <c r="G969" t="s">
        <v>1859</v>
      </c>
      <c r="H969" t="s">
        <v>5906</v>
      </c>
    </row>
    <row r="970" spans="1:8" ht="14" customHeight="1" x14ac:dyDescent="0.2">
      <c r="A970" t="s">
        <v>2833</v>
      </c>
      <c r="B970" t="s">
        <v>3867</v>
      </c>
      <c r="E970" t="e">
        <f>-Friendly team environment. my supervisor and the department I Worked at were [1]!They were patient when it comes to work Getting done and willing to teach with team meetings.</f>
        <v>#NAME?</v>
      </c>
      <c r="F970" t="s">
        <v>5907</v>
      </c>
      <c r="G970" t="s">
        <v>1860</v>
      </c>
      <c r="H970" t="s">
        <v>5908</v>
      </c>
    </row>
    <row r="971" spans="1:8" ht="14" customHeight="1" x14ac:dyDescent="0.2">
      <c r="A971" t="s">
        <v>2834</v>
      </c>
      <c r="B971" t="s">
        <v>3868</v>
      </c>
      <c r="E971" t="s">
        <v>1861</v>
      </c>
      <c r="F971" t="s">
        <v>5909</v>
      </c>
      <c r="G971" t="s">
        <v>1862</v>
      </c>
      <c r="H971" t="s">
        <v>5910</v>
      </c>
    </row>
    <row r="972" spans="1:8" ht="14" customHeight="1" x14ac:dyDescent="0.2">
      <c r="A972" t="s">
        <v>2835</v>
      </c>
      <c r="B972" t="s">
        <v>3869</v>
      </c>
      <c r="E972" t="s">
        <v>1863</v>
      </c>
      <c r="F972" t="s">
        <v>5911</v>
      </c>
      <c r="G972" t="s">
        <v>1864</v>
      </c>
      <c r="H972" t="s">
        <v>5912</v>
      </c>
    </row>
    <row r="973" spans="1:8" ht="14" customHeight="1" x14ac:dyDescent="0.2">
      <c r="A973" t="s">
        <v>2836</v>
      </c>
      <c r="B973" t="s">
        <v>3870</v>
      </c>
      <c r="E973" t="s">
        <v>1865</v>
      </c>
      <c r="F973" t="s">
        <v>5913</v>
      </c>
      <c r="G973" t="s">
        <v>1866</v>
      </c>
      <c r="H973" t="s">
        <v>5914</v>
      </c>
    </row>
    <row r="974" spans="1:8" ht="14" customHeight="1" x14ac:dyDescent="0.2">
      <c r="A974" t="s">
        <v>2837</v>
      </c>
      <c r="B974" t="s">
        <v>3871</v>
      </c>
      <c r="E974" t="e">
        <f>-opportunity to work with large-scale companies</f>
        <v>#NAME?</v>
      </c>
      <c r="F974" t="s">
        <v>5915</v>
      </c>
      <c r="G974" s="1" t="s">
        <v>1867</v>
      </c>
      <c r="H974" t="s">
        <v>5916</v>
      </c>
    </row>
    <row r="975" spans="1:8" ht="14" customHeight="1" x14ac:dyDescent="0.2">
      <c r="A975" t="s">
        <v>2838</v>
      </c>
      <c r="B975" t="s">
        <v>3872</v>
      </c>
      <c r="E975" s="1" t="s">
        <v>1868</v>
      </c>
      <c r="F975" t="s">
        <v>5917</v>
      </c>
      <c r="G975" t="s">
        <v>1869</v>
      </c>
      <c r="H975" t="s">
        <v>5918</v>
      </c>
    </row>
    <row r="976" spans="1:8" ht="14" customHeight="1" x14ac:dyDescent="0.2">
      <c r="A976" t="s">
        <v>2839</v>
      </c>
      <c r="B976" t="s">
        <v>3873</v>
      </c>
      <c r="E976" s="1" t="s">
        <v>1870</v>
      </c>
      <c r="F976" t="s">
        <v>5919</v>
      </c>
      <c r="G976" t="s">
        <v>1871</v>
      </c>
      <c r="H976" t="s">
        <v>5920</v>
      </c>
    </row>
    <row r="977" spans="1:8" ht="14" customHeight="1" x14ac:dyDescent="0.2">
      <c r="A977" t="s">
        <v>2840</v>
      </c>
      <c r="B977" t="s">
        <v>3874</v>
      </c>
      <c r="E977" s="1" t="s">
        <v>1872</v>
      </c>
      <c r="F977" t="s">
        <v>5921</v>
      </c>
      <c r="G977" s="1" t="s">
        <v>1873</v>
      </c>
      <c r="H977" t="s">
        <v>5922</v>
      </c>
    </row>
    <row r="978" spans="1:8" ht="14" customHeight="1" x14ac:dyDescent="0.2">
      <c r="A978" t="s">
        <v>2841</v>
      </c>
      <c r="B978" t="s">
        <v>3875</v>
      </c>
      <c r="E978" t="s">
        <v>1874</v>
      </c>
      <c r="F978" t="s">
        <v>5923</v>
      </c>
      <c r="G978" t="s">
        <v>1875</v>
      </c>
      <c r="H978" t="s">
        <v>5924</v>
      </c>
    </row>
    <row r="979" spans="1:8" ht="14" customHeight="1" x14ac:dyDescent="0.2">
      <c r="A979" t="s">
        <v>2842</v>
      </c>
      <c r="B979" t="s">
        <v>3876</v>
      </c>
      <c r="E979" t="s">
        <v>1876</v>
      </c>
      <c r="G979" t="s">
        <v>1877</v>
      </c>
      <c r="H979" t="s">
        <v>5925</v>
      </c>
    </row>
    <row r="980" spans="1:8" ht="14" customHeight="1" x14ac:dyDescent="0.2">
      <c r="A980" t="s">
        <v>2328</v>
      </c>
      <c r="B980" t="s">
        <v>3473</v>
      </c>
      <c r="E980" t="s">
        <v>1878</v>
      </c>
      <c r="F980" t="s">
        <v>5565</v>
      </c>
      <c r="G980" t="s">
        <v>1879</v>
      </c>
      <c r="H980" t="s">
        <v>5926</v>
      </c>
    </row>
    <row r="981" spans="1:8" ht="14" customHeight="1" x14ac:dyDescent="0.2">
      <c r="A981" t="s">
        <v>2843</v>
      </c>
      <c r="B981" t="s">
        <v>3877</v>
      </c>
      <c r="E981" t="s">
        <v>1880</v>
      </c>
      <c r="F981" t="s">
        <v>1880</v>
      </c>
      <c r="G981" s="1" t="s">
        <v>1881</v>
      </c>
      <c r="H981" t="s">
        <v>5927</v>
      </c>
    </row>
    <row r="982" spans="1:8" ht="14" customHeight="1" x14ac:dyDescent="0.2">
      <c r="A982" t="s">
        <v>2844</v>
      </c>
      <c r="B982" t="s">
        <v>3878</v>
      </c>
      <c r="E982" t="s">
        <v>1882</v>
      </c>
      <c r="F982" t="s">
        <v>5928</v>
      </c>
      <c r="G982" t="s">
        <v>1883</v>
      </c>
      <c r="H982" t="s">
        <v>5929</v>
      </c>
    </row>
    <row r="983" spans="1:8" ht="14" customHeight="1" x14ac:dyDescent="0.2">
      <c r="A983" t="s">
        <v>2845</v>
      </c>
      <c r="B983" t="s">
        <v>3879</v>
      </c>
      <c r="E983" s="1" t="s">
        <v>1884</v>
      </c>
      <c r="F983" t="s">
        <v>5930</v>
      </c>
      <c r="G983" s="1" t="s">
        <v>1885</v>
      </c>
      <c r="H983" t="s">
        <v>5931</v>
      </c>
    </row>
    <row r="984" spans="1:8" ht="14" customHeight="1" x14ac:dyDescent="0.2">
      <c r="A984" t="s">
        <v>2846</v>
      </c>
      <c r="B984" t="s">
        <v>3880</v>
      </c>
      <c r="E984" t="s">
        <v>1886</v>
      </c>
      <c r="G984" t="s">
        <v>1887</v>
      </c>
      <c r="H984" t="s">
        <v>5932</v>
      </c>
    </row>
    <row r="985" spans="1:8" ht="14" customHeight="1" x14ac:dyDescent="0.2">
      <c r="A985" t="s">
        <v>2847</v>
      </c>
      <c r="B985" t="s">
        <v>3881</v>
      </c>
      <c r="E985" t="s">
        <v>1888</v>
      </c>
      <c r="F985" t="s">
        <v>5933</v>
      </c>
      <c r="G985" t="s">
        <v>1889</v>
      </c>
      <c r="H985" t="s">
        <v>5934</v>
      </c>
    </row>
    <row r="986" spans="1:8" ht="14" customHeight="1" x14ac:dyDescent="0.2">
      <c r="A986" t="s">
        <v>2848</v>
      </c>
      <c r="B986" t="s">
        <v>3882</v>
      </c>
      <c r="E986" s="1" t="s">
        <v>1890</v>
      </c>
      <c r="F986" t="s">
        <v>5935</v>
      </c>
      <c r="G986" s="1" t="s">
        <v>1891</v>
      </c>
      <c r="H986" t="s">
        <v>5936</v>
      </c>
    </row>
    <row r="987" spans="1:8" ht="14" customHeight="1" x14ac:dyDescent="0.2">
      <c r="A987" t="s">
        <v>2849</v>
      </c>
      <c r="B987" t="s">
        <v>3883</v>
      </c>
      <c r="E987" t="s">
        <v>1892</v>
      </c>
      <c r="F987" t="s">
        <v>5937</v>
      </c>
      <c r="G987" t="s">
        <v>1893</v>
      </c>
      <c r="H987" t="s">
        <v>5938</v>
      </c>
    </row>
    <row r="988" spans="1:8" ht="14" customHeight="1" x14ac:dyDescent="0.2">
      <c r="A988" t="s">
        <v>2850</v>
      </c>
      <c r="B988" t="s">
        <v>3884</v>
      </c>
      <c r="E988" t="s">
        <v>1894</v>
      </c>
      <c r="F988" t="s">
        <v>5939</v>
      </c>
      <c r="G988" t="s">
        <v>1895</v>
      </c>
      <c r="H988" t="s">
        <v>5940</v>
      </c>
    </row>
    <row r="989" spans="1:8" ht="14" customHeight="1" x14ac:dyDescent="0.2">
      <c r="A989" t="s">
        <v>2851</v>
      </c>
      <c r="B989" t="s">
        <v>3885</v>
      </c>
      <c r="E989" t="s">
        <v>1896</v>
      </c>
      <c r="F989" t="s">
        <v>5941</v>
      </c>
      <c r="G989" t="s">
        <v>1897</v>
      </c>
      <c r="H989" t="s">
        <v>5942</v>
      </c>
    </row>
    <row r="990" spans="1:8" ht="14" customHeight="1" x14ac:dyDescent="0.2">
      <c r="A990" t="s">
        <v>2852</v>
      </c>
      <c r="B990" t="s">
        <v>3886</v>
      </c>
      <c r="E990" t="s">
        <v>1898</v>
      </c>
      <c r="F990" t="s">
        <v>5943</v>
      </c>
      <c r="G990" s="1" t="s">
        <v>1899</v>
      </c>
      <c r="H990" t="s">
        <v>5944</v>
      </c>
    </row>
    <row r="991" spans="1:8" ht="14" customHeight="1" x14ac:dyDescent="0.2">
      <c r="A991" t="s">
        <v>2853</v>
      </c>
      <c r="B991" t="s">
        <v>3887</v>
      </c>
      <c r="E991" s="1" t="s">
        <v>1900</v>
      </c>
      <c r="F991" t="s">
        <v>5945</v>
      </c>
      <c r="G991" s="1" t="s">
        <v>1901</v>
      </c>
      <c r="H991" t="s">
        <v>5946</v>
      </c>
    </row>
    <row r="992" spans="1:8" ht="14" customHeight="1" x14ac:dyDescent="0.2">
      <c r="A992" t="s">
        <v>2854</v>
      </c>
      <c r="B992" t="s">
        <v>3888</v>
      </c>
      <c r="E992" t="s">
        <v>1902</v>
      </c>
      <c r="F992" t="s">
        <v>5947</v>
      </c>
      <c r="G992" t="s">
        <v>1903</v>
      </c>
      <c r="H992" t="s">
        <v>5948</v>
      </c>
    </row>
    <row r="993" spans="1:8" ht="14" customHeight="1" x14ac:dyDescent="0.2">
      <c r="A993" t="s">
        <v>2855</v>
      </c>
      <c r="B993" t="s">
        <v>3889</v>
      </c>
      <c r="E993" t="s">
        <v>1904</v>
      </c>
      <c r="F993" t="s">
        <v>5949</v>
      </c>
      <c r="G993" t="s">
        <v>1905</v>
      </c>
      <c r="H993" t="s">
        <v>5950</v>
      </c>
    </row>
    <row r="994" spans="1:8" ht="14" customHeight="1" x14ac:dyDescent="0.2">
      <c r="A994" t="s">
        <v>2856</v>
      </c>
      <c r="B994" t="s">
        <v>5969</v>
      </c>
      <c r="E994" s="1" t="s">
        <v>1906</v>
      </c>
      <c r="F994" t="s">
        <v>5951</v>
      </c>
      <c r="G994" s="1" t="s">
        <v>1907</v>
      </c>
      <c r="H994" t="s">
        <v>5952</v>
      </c>
    </row>
    <row r="995" spans="1:8" ht="14" customHeight="1" x14ac:dyDescent="0.2">
      <c r="A995" t="s">
        <v>2857</v>
      </c>
      <c r="B995" t="s">
        <v>3890</v>
      </c>
      <c r="E995" t="s">
        <v>1908</v>
      </c>
      <c r="F995" t="s">
        <v>5953</v>
      </c>
      <c r="G995" t="s">
        <v>1909</v>
      </c>
      <c r="H995" t="s">
        <v>5954</v>
      </c>
    </row>
    <row r="996" spans="1:8" ht="14" customHeight="1" x14ac:dyDescent="0.2">
      <c r="A996" t="s">
        <v>2386</v>
      </c>
      <c r="B996" t="s">
        <v>3350</v>
      </c>
      <c r="E996" t="s">
        <v>1910</v>
      </c>
      <c r="F996" t="s">
        <v>5955</v>
      </c>
      <c r="G996" t="s">
        <v>1911</v>
      </c>
      <c r="H996" t="s">
        <v>5956</v>
      </c>
    </row>
    <row r="997" spans="1:8" ht="14" customHeight="1" x14ac:dyDescent="0.2">
      <c r="A997" t="s">
        <v>2858</v>
      </c>
      <c r="B997" t="s">
        <v>3891</v>
      </c>
      <c r="E997" t="s">
        <v>1912</v>
      </c>
      <c r="F997" t="s">
        <v>5957</v>
      </c>
      <c r="G997" t="s">
        <v>1913</v>
      </c>
      <c r="H997" t="s">
        <v>5958</v>
      </c>
    </row>
    <row r="998" spans="1:8" ht="14" customHeight="1" x14ac:dyDescent="0.2">
      <c r="A998" t="s">
        <v>1962</v>
      </c>
      <c r="B998" t="s">
        <v>3245</v>
      </c>
      <c r="E998" t="s">
        <v>1914</v>
      </c>
      <c r="F998" t="s">
        <v>5959</v>
      </c>
      <c r="G998" t="s">
        <v>1915</v>
      </c>
      <c r="H998" t="s">
        <v>5960</v>
      </c>
    </row>
    <row r="999" spans="1:8" ht="14" customHeight="1" x14ac:dyDescent="0.2">
      <c r="A999" t="s">
        <v>2859</v>
      </c>
      <c r="B999" t="s">
        <v>3892</v>
      </c>
      <c r="E999" t="s">
        <v>1916</v>
      </c>
      <c r="F999" t="s">
        <v>5961</v>
      </c>
      <c r="G999" s="1" t="s">
        <v>1917</v>
      </c>
      <c r="H999" t="s">
        <v>5962</v>
      </c>
    </row>
    <row r="1000" spans="1:8" ht="14" customHeight="1" x14ac:dyDescent="0.2">
      <c r="A1000" t="s">
        <v>2860</v>
      </c>
      <c r="B1000" t="s">
        <v>3893</v>
      </c>
      <c r="E1000" t="s">
        <v>1918</v>
      </c>
      <c r="F1000" t="s">
        <v>5963</v>
      </c>
      <c r="G1000" s="1" t="s">
        <v>1919</v>
      </c>
      <c r="H1000" t="s">
        <v>5964</v>
      </c>
    </row>
    <row r="1001" spans="1:8" ht="14" customHeight="1" x14ac:dyDescent="0.2">
      <c r="A1001" t="s">
        <v>2861</v>
      </c>
      <c r="B1001" t="s">
        <v>3894</v>
      </c>
      <c r="C1001" t="s">
        <v>3219</v>
      </c>
      <c r="D1001" t="s">
        <v>4189</v>
      </c>
      <c r="E1001" s="1" t="s">
        <v>1920</v>
      </c>
      <c r="F1001" s="1" t="s">
        <v>1920</v>
      </c>
      <c r="G1001" s="1" t="s">
        <v>1921</v>
      </c>
      <c r="H1001" t="s">
        <v>5965</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Cheung</dc:creator>
  <cp:lastModifiedBy>Daniel Cheung</cp:lastModifiedBy>
  <dcterms:created xsi:type="dcterms:W3CDTF">2026-03-27T00:08:01Z</dcterms:created>
  <dcterms:modified xsi:type="dcterms:W3CDTF">2026-04-17T19:58:13Z</dcterms:modified>
</cp:coreProperties>
</file>